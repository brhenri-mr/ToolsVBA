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osniak-03\OneDrive\Área de Trabalho\"/>
    </mc:Choice>
  </mc:AlternateContent>
  <xr:revisionPtr revIDLastSave="0" documentId="13_ncr:1_{6574F055-AB9F-4F94-A554-8BF5D01E3CA7}" xr6:coauthVersionLast="47" xr6:coauthVersionMax="47" xr10:uidLastSave="{00000000-0000-0000-0000-000000000000}"/>
  <bookViews>
    <workbookView xWindow="14340" yWindow="0" windowWidth="14460" windowHeight="15600" xr2:uid="{00000000-000D-0000-FFFF-FFFF00000000}"/>
  </bookViews>
  <sheets>
    <sheet name="Cálculos NBR9062 2017" sheetId="1" r:id="rId1"/>
    <sheet name="Dados" sheetId="2" r:id="rId2"/>
  </sheets>
  <functionGroups builtInGroupCount="19"/>
  <definedNames>
    <definedName name="AparelhoApoioNBR">'Cálculos NBR9062 2017'!$A$65:$I$148</definedName>
    <definedName name="Table1">'Cálculos NBR9062 2017'!$A$67:$K$68</definedName>
    <definedName name="Tablet1">'Cálculos NBR9062 2017'!$A$67:$H$68</definedName>
    <definedName name="Tablet2">'Cálculos NBR9062 2017'!$A$67:$H$69</definedName>
    <definedName name="Test3">'Cálculos NBR9062 2017'!$A$65:$I$89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/>
  <c r="B40" i="1"/>
  <c r="B42" i="1"/>
  <c r="B36" i="1"/>
  <c r="C5" i="2" s="1"/>
  <c r="C6" i="2" s="1"/>
  <c r="O77" i="1"/>
  <c r="B96" i="1"/>
  <c r="B129" i="1" s="1"/>
  <c r="E10" i="2"/>
  <c r="D12" i="2"/>
  <c r="C12" i="2" s="1"/>
  <c r="E13" i="2"/>
  <c r="E14" i="2" s="1"/>
  <c r="F3" i="2"/>
  <c r="B6" i="2"/>
  <c r="B7" i="2" s="1"/>
  <c r="B25" i="1"/>
  <c r="B139" i="1" s="1"/>
  <c r="B24" i="1"/>
  <c r="B67" i="1"/>
  <c r="B142" i="1"/>
  <c r="B130" i="1"/>
  <c r="N46" i="1"/>
  <c r="B46" i="1" s="1"/>
  <c r="B16" i="1" s="1"/>
  <c r="O76" i="1"/>
  <c r="B15" i="1"/>
  <c r="B68" i="1" s="1"/>
  <c r="B84" i="1" l="1"/>
  <c r="B85" i="1"/>
  <c r="B94" i="1"/>
  <c r="B105" i="1"/>
  <c r="B106" i="1" s="1"/>
  <c r="B115" i="1"/>
  <c r="B95" i="1"/>
  <c r="B116" i="1"/>
  <c r="B141" i="1"/>
  <c r="B83" i="1"/>
  <c r="N76" i="1"/>
  <c r="B12" i="2"/>
  <c r="B17" i="2" s="1"/>
  <c r="D13" i="2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C13" i="2"/>
  <c r="C14" i="2" s="1"/>
  <c r="E15" i="2"/>
  <c r="B127" i="1"/>
  <c r="B92" i="1"/>
  <c r="F70" i="1"/>
  <c r="N12" i="1" s="1"/>
  <c r="N77" i="1"/>
  <c r="B97" i="1" l="1"/>
  <c r="B98" i="1" s="1"/>
  <c r="B107" i="1"/>
  <c r="B131" i="1" s="1"/>
  <c r="B117" i="1"/>
  <c r="B118" i="1" s="1"/>
  <c r="B119" i="1" s="1"/>
  <c r="B120" i="1" s="1"/>
  <c r="B14" i="2"/>
  <c r="B13" i="2" s="1"/>
  <c r="B75" i="1"/>
  <c r="E16" i="2"/>
  <c r="C15" i="2"/>
  <c r="B15" i="2"/>
  <c r="C17" i="2"/>
  <c r="B86" i="1"/>
  <c r="F88" i="1" s="1"/>
  <c r="N14" i="1" s="1"/>
  <c r="N47" i="1"/>
  <c r="B17" i="1"/>
  <c r="B143" i="1" l="1"/>
  <c r="B144" i="1" s="1"/>
  <c r="B145" i="1" s="1"/>
  <c r="F122" i="1"/>
  <c r="N17" i="1" s="1"/>
  <c r="B74" i="1"/>
  <c r="B76" i="1" s="1"/>
  <c r="B77" i="1" s="1"/>
  <c r="B108" i="1"/>
  <c r="B132" i="1"/>
  <c r="B133" i="1" s="1"/>
  <c r="C16" i="2"/>
  <c r="B16" i="2"/>
  <c r="E17" i="2"/>
  <c r="E18" i="2" s="1"/>
  <c r="F100" i="1"/>
  <c r="N15" i="1" s="1"/>
  <c r="B87" i="1"/>
  <c r="F147" i="1" l="1"/>
  <c r="N19" i="1" s="1"/>
  <c r="B109" i="1"/>
  <c r="F111" i="1"/>
  <c r="N16" i="1" s="1"/>
  <c r="F79" i="1"/>
  <c r="N13" i="1" s="1"/>
  <c r="F135" i="1"/>
  <c r="N18" i="1" s="1"/>
  <c r="E19" i="2"/>
  <c r="C18" i="2"/>
  <c r="E20" i="2" l="1"/>
  <c r="C19" i="2"/>
  <c r="B19" i="2"/>
  <c r="B18" i="2" s="1"/>
  <c r="B20" i="2" l="1"/>
  <c r="E21" i="2"/>
  <c r="C20" i="2"/>
  <c r="E22" i="2" l="1"/>
  <c r="B21" i="2"/>
  <c r="C21" i="2"/>
  <c r="E23" i="2" l="1"/>
  <c r="E24" i="2" s="1"/>
  <c r="C22" i="2"/>
  <c r="B22" i="2"/>
  <c r="C23" i="2" l="1"/>
  <c r="C24" i="2" s="1"/>
  <c r="E25" i="2"/>
  <c r="B24" i="2"/>
  <c r="B23" i="2" s="1"/>
  <c r="E26" i="2" l="1"/>
  <c r="B25" i="2"/>
  <c r="C25" i="2"/>
  <c r="E27" i="2" l="1"/>
  <c r="B26" i="2"/>
  <c r="C26" i="2"/>
  <c r="E28" i="2" l="1"/>
  <c r="C27" i="2"/>
  <c r="B27" i="2"/>
  <c r="C28" i="2" l="1"/>
  <c r="E29" i="2"/>
  <c r="B29" i="2" s="1"/>
  <c r="B28" i="2" s="1"/>
  <c r="E30" i="2" l="1"/>
  <c r="B30" i="2" s="1"/>
  <c r="C29" i="2"/>
  <c r="E31" i="2" l="1"/>
  <c r="B31" i="2" s="1"/>
  <c r="C30" i="2"/>
  <c r="E32" i="2" l="1"/>
  <c r="C32" i="2" s="1"/>
  <c r="C31" i="2"/>
  <c r="B32" i="2" l="1"/>
  <c r="E33" i="2"/>
  <c r="E34" i="2" s="1"/>
  <c r="B34" i="2" l="1"/>
  <c r="B33" i="2" s="1"/>
  <c r="C33" i="2"/>
  <c r="C34" i="2" s="1"/>
  <c r="E35" i="2"/>
  <c r="B35" i="2" s="1"/>
  <c r="E36" i="2" l="1"/>
  <c r="B36" i="2" s="1"/>
  <c r="C35" i="2"/>
  <c r="E37" i="2" l="1"/>
  <c r="C36" i="2"/>
  <c r="E38" i="2" l="1"/>
  <c r="C37" i="2"/>
  <c r="B37" i="2"/>
  <c r="E39" i="2" l="1"/>
  <c r="C38" i="2"/>
  <c r="E40" i="2" l="1"/>
  <c r="C39" i="2"/>
  <c r="B39" i="2"/>
  <c r="B38" i="2" s="1"/>
  <c r="E41" i="2" l="1"/>
  <c r="C40" i="2"/>
  <c r="B40" i="2"/>
  <c r="E42" i="2" l="1"/>
  <c r="C41" i="2"/>
  <c r="B41" i="2"/>
  <c r="E43" i="2" l="1"/>
  <c r="C42" i="2"/>
  <c r="B42" i="2"/>
  <c r="E44" i="2" l="1"/>
  <c r="C43" i="2"/>
  <c r="E45" i="2" l="1"/>
  <c r="C44" i="2"/>
  <c r="B44" i="2"/>
  <c r="B43" i="2" s="1"/>
  <c r="E46" i="2" l="1"/>
  <c r="C45" i="2"/>
  <c r="B45" i="2"/>
  <c r="E47" i="2" l="1"/>
  <c r="C46" i="2"/>
  <c r="B46" i="2"/>
  <c r="E48" i="2" l="1"/>
  <c r="C47" i="2"/>
  <c r="B47" i="2"/>
  <c r="E49" i="2" l="1"/>
  <c r="C48" i="2"/>
  <c r="E50" i="2" l="1"/>
  <c r="C49" i="2"/>
  <c r="B49" i="2"/>
  <c r="B48" i="2" s="1"/>
  <c r="E51" i="2" l="1"/>
  <c r="C50" i="2"/>
  <c r="B50" i="2"/>
  <c r="E52" i="2" l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C51" i="2"/>
  <c r="B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tc={902F51FA-38D5-4BCD-BAF3-2B6A85BBF7CD}</author>
  </authors>
  <commentList>
    <comment ref="B74" authorId="0" shapeId="0" xr:uid="{902F51FA-38D5-4BCD-BAF3-2B6A85BBF7CD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Conferir esse valor, está estranho
</t>
      </text>
    </comment>
  </commentList>
</comments>
</file>

<file path=xl/sharedStrings.xml><?xml version="1.0" encoding="utf-8"?>
<sst xmlns="http://schemas.openxmlformats.org/spreadsheetml/2006/main" count="341" uniqueCount="212">
  <si>
    <t>INSTRUÇÕES</t>
  </si>
  <si>
    <t xml:space="preserve">Codificação de cores nas celulas </t>
  </si>
  <si>
    <t>Escala de cores</t>
  </si>
  <si>
    <t>dados de entrada</t>
  </si>
  <si>
    <t>0&lt;x&lt;0,2</t>
  </si>
  <si>
    <t>dados preenchidos e/ou calculados pela planilha ou do banco de dados</t>
  </si>
  <si>
    <t>0,2&lt;x&lt;0,4</t>
  </si>
  <si>
    <t>Tensoes,deslocamentos, solicitantes</t>
  </si>
  <si>
    <t>0,4&lt;x&lt;0,6</t>
  </si>
  <si>
    <t>Tensoes,deslocamentos, Admissiveis</t>
  </si>
  <si>
    <t>0,6&lt;x&lt;0,8</t>
  </si>
  <si>
    <t>Ratios</t>
  </si>
  <si>
    <t>0,8&lt;x&lt;1,0</t>
  </si>
  <si>
    <t>1.DADOS</t>
  </si>
  <si>
    <t>&gt;1</t>
  </si>
  <si>
    <t xml:space="preserve">1.1 DADOS GERAIS </t>
  </si>
  <si>
    <t>A572-GR50</t>
  </si>
  <si>
    <t>Verificações</t>
  </si>
  <si>
    <t>Verificação 1</t>
  </si>
  <si>
    <t>E=</t>
  </si>
  <si>
    <t>MPa</t>
  </si>
  <si>
    <t>Módulo de Elasticidade do aço</t>
  </si>
  <si>
    <t>Verificação 3</t>
  </si>
  <si>
    <r>
      <t>γ</t>
    </r>
    <r>
      <rPr>
        <vertAlign val="subscript"/>
        <sz val="11"/>
        <color theme="1"/>
        <rFont val="Calibri"/>
        <family val="2"/>
        <scheme val="minor"/>
      </rPr>
      <t>a1</t>
    </r>
    <r>
      <rPr>
        <sz val="11"/>
        <color theme="1"/>
        <rFont val="Calibri"/>
        <family val="2"/>
        <scheme val="minor"/>
      </rPr>
      <t>=</t>
    </r>
  </si>
  <si>
    <t>-</t>
  </si>
  <si>
    <r>
      <rPr>
        <sz val="11"/>
        <color theme="1"/>
        <rFont val="Calibri"/>
        <family val="2"/>
        <scheme val="minor"/>
      </rPr>
      <t>γ</t>
    </r>
    <r>
      <rPr>
        <vertAlign val="subscript"/>
        <sz val="11"/>
        <color theme="1"/>
        <rFont val="Calibri"/>
        <family val="2"/>
        <scheme val="minor"/>
      </rPr>
      <t xml:space="preserve">a2 </t>
    </r>
    <r>
      <rPr>
        <sz val="11"/>
        <color theme="1"/>
        <rFont val="Calibri"/>
        <family val="2"/>
        <scheme val="minor"/>
      </rPr>
      <t>=</t>
    </r>
  </si>
  <si>
    <t>Coeficiente de ponderação do aço à Ruptura</t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</si>
  <si>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=</t>
    </r>
  </si>
  <si>
    <t xml:space="preserve">Resistência ao escoamento </t>
  </si>
  <si>
    <t>2.CÁLCULOS</t>
  </si>
  <si>
    <t>Mrd = (Mpl)/γa1</t>
  </si>
  <si>
    <t>Mrd = 1/γa1*(Mpl-(Mpl-Mr)*(ʎ-ʎp)/(ʎr-ʎp))</t>
  </si>
  <si>
    <t>"Não aplicável"</t>
  </si>
  <si>
    <t>1.3 DADOS MATERIAIS</t>
  </si>
  <si>
    <t>1.2 DADOS CARREGAMENTOS</t>
  </si>
  <si>
    <t>kN</t>
  </si>
  <si>
    <t>a=</t>
  </si>
  <si>
    <t>b=</t>
  </si>
  <si>
    <t>n=</t>
  </si>
  <si>
    <t>mm</t>
  </si>
  <si>
    <t>Espaçamento entre faces internas de lâminas de chapa de aço</t>
  </si>
  <si>
    <t>Espessura da lâminas de chapa de aço</t>
  </si>
  <si>
    <t>Coeficiente de ponderação do aço ao Escoamento, Flambagem e Instabilidade</t>
  </si>
  <si>
    <t>rad</t>
  </si>
  <si>
    <t>Maior comprimento horizontal do aparelho de apoio</t>
  </si>
  <si>
    <t>cv=</t>
  </si>
  <si>
    <t>ch=</t>
  </si>
  <si>
    <t>1.5 DADOS GEOMÉTRICOS</t>
  </si>
  <si>
    <t>Menor comprimento horizontal do aparelho de apoio</t>
  </si>
  <si>
    <t>Verificação 2</t>
  </si>
  <si>
    <t>Verificação 4</t>
  </si>
  <si>
    <t>Verificação 5</t>
  </si>
  <si>
    <t>Pressão de contato no aparelho de apoio</t>
  </si>
  <si>
    <t>Item 7.2.1.6.19 - NBR9062:2017</t>
  </si>
  <si>
    <r>
      <t>σ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</si>
  <si>
    <t xml:space="preserve">Tensão limite de contato </t>
  </si>
  <si>
    <t>x</t>
  </si>
  <si>
    <t>Valor</t>
  </si>
  <si>
    <t>Condição</t>
  </si>
  <si>
    <t>Apoio simples</t>
  </si>
  <si>
    <t>Fretado</t>
  </si>
  <si>
    <t>Critério</t>
  </si>
  <si>
    <r>
      <t>N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</si>
  <si>
    <t xml:space="preserve">Carregamento externo vertical </t>
  </si>
  <si>
    <t>Limite de pressão de contato</t>
  </si>
  <si>
    <t>2.1 CÁLCULO PRESSÃO DE CONTATO</t>
  </si>
  <si>
    <t>Fonte:Item 7.2.1.6.19 - NBR9062:2017</t>
  </si>
  <si>
    <t>Metadados</t>
  </si>
  <si>
    <t>Path</t>
  </si>
  <si>
    <t>Caminho do arquivo</t>
  </si>
  <si>
    <t>Arquivo aberto</t>
  </si>
  <si>
    <t>Sim</t>
  </si>
  <si>
    <t>Não</t>
  </si>
  <si>
    <t xml:space="preserve">2.2 CÁLCULO DESLIZAMENTO </t>
  </si>
  <si>
    <r>
      <t>σ'</t>
    </r>
    <r>
      <rPr>
        <vertAlign val="subscript"/>
        <sz val="11"/>
        <color theme="1"/>
        <rFont val="Calibri"/>
        <family val="2"/>
        <scheme val="minor"/>
      </rPr>
      <t>mk</t>
    </r>
    <r>
      <rPr>
        <sz val="11"/>
        <color theme="1"/>
        <rFont val="Calibri"/>
        <family val="2"/>
        <scheme val="minor"/>
      </rPr>
      <t>=</t>
    </r>
  </si>
  <si>
    <t>Tensão efetiva de compressão</t>
  </si>
  <si>
    <t>μ=</t>
  </si>
  <si>
    <t>Item 7.2.1.6.22 - NBR9062:2017</t>
  </si>
  <si>
    <t>Coef. conformação superficial do concreto</t>
  </si>
  <si>
    <r>
      <t>a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</si>
  <si>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r>
      <t>Deformação máxima no sentido de H</t>
    </r>
    <r>
      <rPr>
        <vertAlign val="subscript"/>
        <sz val="11"/>
        <color theme="1"/>
        <rFont val="Calibri"/>
        <family val="2"/>
        <scheme val="minor"/>
      </rPr>
      <t>k</t>
    </r>
  </si>
  <si>
    <t>Área indeformada de contato</t>
  </si>
  <si>
    <r>
      <t>N</t>
    </r>
    <r>
      <rPr>
        <vertAlign val="subscript"/>
        <sz val="11"/>
        <color theme="1"/>
        <rFont val="Calibri"/>
        <family val="2"/>
        <scheme val="minor"/>
      </rPr>
      <t>gk</t>
    </r>
    <r>
      <rPr>
        <sz val="11"/>
        <color theme="1"/>
        <rFont val="Calibri"/>
        <family val="2"/>
        <scheme val="minor"/>
      </rPr>
      <t>=</t>
    </r>
  </si>
  <si>
    <r>
      <t>N</t>
    </r>
    <r>
      <rPr>
        <vertAlign val="subscript"/>
        <sz val="11"/>
        <color theme="1"/>
        <rFont val="Calibri"/>
        <family val="2"/>
        <scheme val="minor"/>
      </rPr>
      <t>qk</t>
    </r>
    <r>
      <rPr>
        <sz val="11"/>
        <color theme="1"/>
        <rFont val="Calibri"/>
        <family val="2"/>
        <scheme val="minor"/>
      </rPr>
      <t>=</t>
    </r>
  </si>
  <si>
    <t>Carregamento externo vertical permanente</t>
  </si>
  <si>
    <t>Carregamento externo vertical Acidental</t>
  </si>
  <si>
    <t>Ngk</t>
  </si>
  <si>
    <t>Ngk+Nqk</t>
  </si>
  <si>
    <r>
      <t>N</t>
    </r>
    <r>
      <rPr>
        <vertAlign val="subscript"/>
        <sz val="11"/>
        <color theme="1"/>
        <rFont val="Calibri"/>
        <family val="2"/>
        <scheme val="minor"/>
      </rPr>
      <t>k,mín</t>
    </r>
    <r>
      <rPr>
        <sz val="11"/>
        <color theme="1"/>
        <rFont val="Calibri"/>
        <family val="2"/>
        <scheme val="minor"/>
      </rPr>
      <t>=</t>
    </r>
  </si>
  <si>
    <t>Carregamento externo vertical mínimo</t>
  </si>
  <si>
    <t>* a norma é meio confusa neste ponto</t>
  </si>
  <si>
    <t>A'</t>
  </si>
  <si>
    <t>A'=</t>
  </si>
  <si>
    <r>
      <t>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</si>
  <si>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t>cm²</t>
  </si>
  <si>
    <t>Comparar</t>
  </si>
  <si>
    <t>ε=</t>
  </si>
  <si>
    <r>
      <t>ε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</si>
  <si>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>h=</t>
  </si>
  <si>
    <t>G=</t>
  </si>
  <si>
    <t>qndt</t>
  </si>
  <si>
    <r>
      <t>H</t>
    </r>
    <r>
      <rPr>
        <vertAlign val="subscript"/>
        <sz val="11"/>
        <color theme="1"/>
        <rFont val="Calibri"/>
        <family val="2"/>
        <scheme val="minor"/>
      </rPr>
      <t>gk</t>
    </r>
    <r>
      <rPr>
        <sz val="11"/>
        <color theme="1"/>
        <rFont val="Calibri"/>
        <family val="2"/>
        <scheme val="minor"/>
      </rPr>
      <t>=</t>
    </r>
  </si>
  <si>
    <r>
      <t>H</t>
    </r>
    <r>
      <rPr>
        <vertAlign val="subscript"/>
        <sz val="11"/>
        <color theme="1"/>
        <rFont val="Calibri"/>
        <family val="2"/>
        <scheme val="minor"/>
      </rPr>
      <t>qk</t>
    </r>
    <r>
      <rPr>
        <sz val="11"/>
        <color theme="1"/>
        <rFont val="Calibri"/>
        <family val="2"/>
        <scheme val="minor"/>
      </rPr>
      <t>=</t>
    </r>
  </si>
  <si>
    <t>2.3 CÁLCULO DESLOCAMENTO POR CISALHAMENTO</t>
  </si>
  <si>
    <r>
      <t>ε</t>
    </r>
    <r>
      <rPr>
        <vertAlign val="subscript"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</t>
    </r>
  </si>
  <si>
    <r>
      <t>ε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=</t>
    </r>
  </si>
  <si>
    <t>Verificação esforço vertical mínimo</t>
  </si>
  <si>
    <t>ε/εlim=</t>
  </si>
  <si>
    <t>Marcador</t>
  </si>
  <si>
    <r>
      <t>σ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</si>
  <si>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r>
      <t>H/H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=</t>
    </r>
  </si>
  <si>
    <r>
      <t>σ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/σ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</si>
  <si>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r>
      <t>σ'</t>
    </r>
    <r>
      <rPr>
        <b/>
        <vertAlign val="subscript"/>
        <sz val="11"/>
        <color theme="1"/>
        <rFont val="Calibri"/>
        <family val="2"/>
        <scheme val="minor"/>
      </rPr>
      <t>mk</t>
    </r>
  </si>
  <si>
    <r>
      <t>σ</t>
    </r>
    <r>
      <rPr>
        <vertAlign val="subscript"/>
        <sz val="11"/>
        <color theme="1"/>
        <rFont val="Calibri"/>
        <family val="2"/>
        <scheme val="minor"/>
      </rPr>
      <t>q</t>
    </r>
    <r>
      <rPr>
        <sz val="11"/>
        <color theme="1"/>
        <rFont val="Calibri"/>
        <family val="2"/>
        <scheme val="minor"/>
      </rPr>
      <t>=</t>
    </r>
  </si>
  <si>
    <t>Tensão normal devida as ações permanentes</t>
  </si>
  <si>
    <t>Tensão normal devida as ações variáveis</t>
  </si>
  <si>
    <t>Δh=</t>
  </si>
  <si>
    <t>Item 7.2.1.6.20 - NBR9062:2017</t>
  </si>
  <si>
    <r>
      <t>Δh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</si>
  <si>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 xml:space="preserve">Deslocamento de afundamento limite </t>
  </si>
  <si>
    <r>
      <rPr>
        <sz val="11"/>
        <color theme="1"/>
        <rFont val="Calibri"/>
        <family val="2"/>
        <scheme val="minor"/>
      </rP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</si>
  <si>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r>
      <rPr>
        <sz val="11"/>
        <color theme="1"/>
        <rFont val="Calibri"/>
        <family val="2"/>
        <scheme val="minor"/>
      </rP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</si>
  <si>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t>Δh/Δhlim=</t>
  </si>
  <si>
    <t>Estabilidade ao afundamento</t>
  </si>
  <si>
    <t>Deslocamento por cisalhamento</t>
  </si>
  <si>
    <t>2.4 CÁLCULO DO AFUNDAMENTO EM SERVIÇO</t>
  </si>
  <si>
    <t xml:space="preserve">Fator de forma </t>
  </si>
  <si>
    <r>
      <t xml:space="preserve">Planilha aplicável para cálculo de aparelhos de apoio </t>
    </r>
    <r>
      <rPr>
        <b/>
        <sz val="11"/>
        <color theme="1"/>
        <rFont val="Calibri"/>
        <family val="2"/>
        <scheme val="minor"/>
      </rPr>
      <t>FRETADO</t>
    </r>
  </si>
  <si>
    <t>Cálculos conforme NBR 9062:2017 com recomendações da TQS</t>
  </si>
  <si>
    <t>Módulo de deformação transversal</t>
  </si>
  <si>
    <t>Item 7.2.1.6.12 - NBR9062:2017</t>
  </si>
  <si>
    <t>Dureza Shore A</t>
  </si>
  <si>
    <t>G [MPA]</t>
  </si>
  <si>
    <t>Dureza Shore A 50</t>
  </si>
  <si>
    <t>Dureza Shore A 60</t>
  </si>
  <si>
    <t>Dureza Shore A 70</t>
  </si>
  <si>
    <t>Aperte o botão para extrair as imagens para um word</t>
  </si>
  <si>
    <r>
      <t>τ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=</t>
    </r>
  </si>
  <si>
    <t>Tensão Cisalhante induzida por Cargas Verticiais</t>
  </si>
  <si>
    <t>Tensão Cisalhante induzida por Cargas Horizontais</t>
  </si>
  <si>
    <r>
      <t>τ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</si>
  <si>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r>
      <t>τ</t>
    </r>
    <r>
      <rPr>
        <vertAlign val="subscript"/>
        <sz val="11"/>
        <color theme="1"/>
        <rFont val="Calibri"/>
        <family val="2"/>
        <scheme val="minor"/>
      </rPr>
      <t>θ</t>
    </r>
    <r>
      <rPr>
        <sz val="11"/>
        <color theme="1"/>
        <rFont val="Calibri"/>
        <family val="2"/>
        <scheme val="minor"/>
      </rPr>
      <t>=</t>
    </r>
  </si>
  <si>
    <t>Tensão Cisalhante polar</t>
  </si>
  <si>
    <t>Item 7.2.1.6.25 - NBR9062:2017</t>
  </si>
  <si>
    <r>
      <t>τ</t>
    </r>
    <r>
      <rPr>
        <vertAlign val="subscript"/>
        <sz val="11"/>
        <color theme="1"/>
        <rFont val="Calibri"/>
        <family val="2"/>
        <scheme val="minor"/>
      </rPr>
      <t>lim</t>
    </r>
    <r>
      <rPr>
        <sz val="11"/>
        <color theme="1"/>
        <rFont val="Calibri"/>
        <family val="2"/>
        <scheme val="minor"/>
      </rPr>
      <t>=</t>
    </r>
  </si>
  <si>
    <t>Στ=</t>
  </si>
  <si>
    <t>Tensão de Cisalhamento total</t>
  </si>
  <si>
    <t>Στ/τlim=</t>
  </si>
  <si>
    <t>Tensão de cisalhamento Permanente</t>
  </si>
  <si>
    <t>Verificação 6</t>
  </si>
  <si>
    <t>Tensão de cisalhamento Total</t>
  </si>
  <si>
    <t>2.5 CÁLCULO DEFORMAÇÕES DE BORDA</t>
  </si>
  <si>
    <t>2.5.1 CÁLCULO DEFORMAÇÕES DE BORDA PERMANENTE</t>
  </si>
  <si>
    <r>
      <t>σ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=</t>
    </r>
  </si>
  <si>
    <r>
      <t>tg</t>
    </r>
    <r>
      <rPr>
        <vertAlign val="subscript"/>
        <sz val="11"/>
        <color theme="1"/>
        <rFont val="Calibri"/>
        <family val="2"/>
        <scheme val="minor"/>
      </rPr>
      <t>θg</t>
    </r>
    <r>
      <rPr>
        <sz val="11"/>
        <color theme="1"/>
        <rFont val="Calibri"/>
        <family val="2"/>
        <scheme val="minor"/>
      </rPr>
      <t>=</t>
    </r>
  </si>
  <si>
    <t xml:space="preserve">Tangente do ângulo de deformação </t>
  </si>
  <si>
    <t>2.5.1 CÁLCULO DEFORMAÇÕES DE BORDA TOTAIS</t>
  </si>
  <si>
    <t>Espessura total do aparelho de apoio</t>
  </si>
  <si>
    <t>1.5.2 DADOS GEOMÉTRICOS CHAPA</t>
  </si>
  <si>
    <t>1.5.1 DADOS GEOMÉTRICOS CONJUNTO</t>
  </si>
  <si>
    <t>hi=</t>
  </si>
  <si>
    <t>hs=</t>
  </si>
  <si>
    <t>a'=</t>
  </si>
  <si>
    <t>b'=</t>
  </si>
  <si>
    <t>Menor comprimento horizontal da chapa do aparelho de apoio</t>
  </si>
  <si>
    <t>Maior comprimento horizontal da chapa do aparelho de apoio</t>
  </si>
  <si>
    <t>Si=</t>
  </si>
  <si>
    <t>A=</t>
  </si>
  <si>
    <t>Dureza do aparelho de apoio</t>
  </si>
  <si>
    <t>A</t>
  </si>
  <si>
    <t>θ=</t>
  </si>
  <si>
    <t>Rotação ângular máxima do material</t>
  </si>
  <si>
    <t>Ângulo de deformação máximo</t>
  </si>
  <si>
    <t>A norma não deixa claro se os valores de saida serão em radianos ou não -&gt; talvez não importe pq tangente é um tamanho. A priori posso expressar isso em radianos ou graus sem problemas</t>
  </si>
  <si>
    <t>h1=</t>
  </si>
  <si>
    <t>θ/θlim=</t>
  </si>
  <si>
    <t>Fator de forma</t>
  </si>
  <si>
    <t>y</t>
  </si>
  <si>
    <t>id</t>
  </si>
  <si>
    <t>Forma - Planta</t>
  </si>
  <si>
    <t>Chapas</t>
  </si>
  <si>
    <t>Cobrimento</t>
  </si>
  <si>
    <t>ch</t>
  </si>
  <si>
    <t>Offset</t>
  </si>
  <si>
    <t>Ligar</t>
  </si>
  <si>
    <t>Espaçamento entre chapa e borda na direção do eixo x</t>
  </si>
  <si>
    <t>Espaçamento entre chapa e borda na direção do eixo y</t>
  </si>
  <si>
    <t>Quantidade de lâminas de chapa de aço</t>
  </si>
  <si>
    <t xml:space="preserve">                                                                                                                                              </t>
  </si>
  <si>
    <t>Verificação 7</t>
  </si>
  <si>
    <t>Deformações de Borda Permamente</t>
  </si>
  <si>
    <t>Verificação 8</t>
  </si>
  <si>
    <t>2.6 CÁLCULO TENSÃO DE CISALHAMENTO</t>
  </si>
  <si>
    <t>2.6.1 CÁLCULO TENSÃO DE CISALHAMENTO PERMANENTE</t>
  </si>
  <si>
    <t>2.6.2 CÁLCULO TENSÃO DE CISALHAMENTO TOTAIS</t>
  </si>
  <si>
    <r>
      <t>tg</t>
    </r>
    <r>
      <rPr>
        <vertAlign val="subscript"/>
        <sz val="11"/>
        <color theme="1"/>
        <rFont val="Calibri"/>
        <family val="2"/>
        <scheme val="minor"/>
      </rPr>
      <t>θg+q</t>
    </r>
    <r>
      <rPr>
        <sz val="11"/>
        <color theme="1"/>
        <rFont val="Calibri"/>
        <family val="2"/>
        <scheme val="minor"/>
      </rPr>
      <t>=</t>
    </r>
  </si>
  <si>
    <t xml:space="preserve">Força de Atrito de Coulomb limite </t>
  </si>
  <si>
    <t>Tensão de cisalhamento limite no elastômero</t>
  </si>
  <si>
    <t>Tensão de cisalhamento limite elastômero</t>
  </si>
  <si>
    <t>Breno</t>
  </si>
  <si>
    <t>Versão</t>
  </si>
  <si>
    <t>Estabilidade ao deslizamento</t>
  </si>
  <si>
    <t>Item 7.2.1.6.21 - NBR9062:2017</t>
  </si>
  <si>
    <t xml:space="preserve">Deslocamento Transversal limite </t>
  </si>
  <si>
    <t>Deslocamento Transversal por Carga Acidental</t>
  </si>
  <si>
    <t>Deslocamento Transversal por Carga Permanente</t>
  </si>
  <si>
    <t>Item 7.2.1.6.24 - NBR9062:2017</t>
  </si>
  <si>
    <r>
      <t>a'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=</t>
    </r>
  </si>
  <si>
    <t>AVISO</t>
  </si>
  <si>
    <t>A Norma NBR9062:2017 não é exatamente clara nesse ponto: fisicamente parece ser mais aceitável o comportamento de bloco para esforço normais (como feito no item 7.2.6.19 da mesma norma). Todavia, a norma recomenda o uso de valores experimentais para faixas de elastômero segundo o item 7.2.6.24</t>
  </si>
  <si>
    <t>Aceitasse a premissa de comportamento Elástico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</si>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</sst>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D4282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2D1D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3F3F3F"/>
      </left>
      <right/>
      <top style="thin">
        <color auto="1"/>
      </top>
      <bottom/>
      <diagonal/>
    </border>
    <border>
      <left style="thin">
        <color indexed="64"/>
      </left>
      <right style="thin">
        <color rgb="FF3F3F3F"/>
      </right>
      <top style="thin">
        <color auto="1"/>
      </top>
      <bottom/>
      <diagonal/>
    </border>
    <border>
      <left style="thin">
        <color indexed="64"/>
      </left>
      <right style="thin">
        <color rgb="FF3F3F3F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2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/>
    <xf numFmtId="0" fontId="0" fillId="0" borderId="14" xfId="0" applyBorder="1"/>
    <xf numFmtId="0" fontId="0" fillId="0" borderId="0" xfId="0" applyAlignment="1">
      <alignment horizontal="center"/>
    </xf>
    <xf numFmtId="0" fontId="0" fillId="0" borderId="10" xfId="0" applyBorder="1" applyAlignment="1">
      <alignment horizontal="right"/>
    </xf>
    <xf numFmtId="2" fontId="0" fillId="8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4" fillId="0" borderId="10" xfId="0" applyFont="1" applyBorder="1" applyAlignment="1">
      <alignment horizontal="right"/>
    </xf>
    <xf numFmtId="2" fontId="0" fillId="9" borderId="2" xfId="0" applyNumberFormat="1" applyFill="1" applyBorder="1" applyAlignment="1">
      <alignment horizontal="center" vertical="center"/>
    </xf>
    <xf numFmtId="2" fontId="0" fillId="10" borderId="2" xfId="0" applyNumberFormat="1" applyFill="1" applyBorder="1" applyAlignment="1">
      <alignment horizontal="center"/>
    </xf>
    <xf numFmtId="0" fontId="0" fillId="0" borderId="11" xfId="0" applyBorder="1" applyAlignment="1">
      <alignment vertical="center"/>
    </xf>
    <xf numFmtId="0" fontId="2" fillId="7" borderId="6" xfId="1" applyFont="1" applyFill="1" applyBorder="1" applyAlignment="1"/>
    <xf numFmtId="0" fontId="2" fillId="7" borderId="5" xfId="1" applyFont="1" applyFill="1" applyBorder="1" applyAlignment="1"/>
    <xf numFmtId="0" fontId="2" fillId="7" borderId="8" xfId="1" applyFont="1" applyFill="1" applyBorder="1" applyAlignment="1">
      <alignment horizontal="center"/>
    </xf>
    <xf numFmtId="0" fontId="8" fillId="0" borderId="0" xfId="0" applyFont="1"/>
    <xf numFmtId="2" fontId="0" fillId="0" borderId="2" xfId="0" applyNumberFormat="1" applyBorder="1" applyAlignment="1">
      <alignment horizontal="center"/>
    </xf>
    <xf numFmtId="0" fontId="3" fillId="0" borderId="0" xfId="0" applyFont="1"/>
    <xf numFmtId="0" fontId="9" fillId="11" borderId="2" xfId="1" applyFont="1" applyFill="1" applyBorder="1" applyAlignment="1">
      <alignment horizontal="center"/>
    </xf>
    <xf numFmtId="0" fontId="0" fillId="0" borderId="10" xfId="0" applyBorder="1" applyAlignment="1">
      <alignment horizontal="right" vertical="center"/>
    </xf>
    <xf numFmtId="4" fontId="7" fillId="3" borderId="2" xfId="0" applyNumberFormat="1" applyFont="1" applyFill="1" applyBorder="1" applyAlignment="1">
      <alignment horizontal="center" vertical="center"/>
    </xf>
    <xf numFmtId="3" fontId="2" fillId="7" borderId="8" xfId="1" applyNumberFormat="1" applyFont="1" applyFill="1" applyBorder="1" applyAlignment="1">
      <alignment horizontal="center"/>
    </xf>
    <xf numFmtId="0" fontId="2" fillId="7" borderId="9" xfId="1" applyFont="1" applyFill="1" applyBorder="1" applyAlignment="1">
      <alignment horizontal="center"/>
    </xf>
    <xf numFmtId="0" fontId="0" fillId="15" borderId="2" xfId="0" applyFill="1" applyBorder="1"/>
    <xf numFmtId="0" fontId="10" fillId="0" borderId="2" xfId="0" applyFont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7" borderId="2" xfId="0" applyFill="1" applyBorder="1"/>
    <xf numFmtId="0" fontId="0" fillId="12" borderId="2" xfId="0" applyFill="1" applyBorder="1"/>
    <xf numFmtId="0" fontId="0" fillId="18" borderId="2" xfId="0" applyFill="1" applyBorder="1"/>
    <xf numFmtId="0" fontId="0" fillId="14" borderId="2" xfId="0" applyFill="1" applyBorder="1"/>
    <xf numFmtId="0" fontId="0" fillId="9" borderId="2" xfId="0" applyFill="1" applyBorder="1"/>
    <xf numFmtId="0" fontId="0" fillId="19" borderId="2" xfId="0" applyFill="1" applyBorder="1"/>
    <xf numFmtId="0" fontId="3" fillId="16" borderId="2" xfId="0" applyFont="1" applyFill="1" applyBorder="1"/>
    <xf numFmtId="0" fontId="0" fillId="0" borderId="8" xfId="0" applyBorder="1" applyAlignment="1">
      <alignment horizontal="center"/>
    </xf>
    <xf numFmtId="0" fontId="7" fillId="0" borderId="0" xfId="0" applyFont="1"/>
    <xf numFmtId="0" fontId="11" fillId="0" borderId="0" xfId="0" applyFont="1"/>
    <xf numFmtId="0" fontId="0" fillId="0" borderId="5" xfId="0" applyBorder="1" applyAlignment="1">
      <alignment horizontal="left" vertical="center"/>
    </xf>
    <xf numFmtId="0" fontId="0" fillId="0" borderId="4" xfId="0" applyBorder="1"/>
    <xf numFmtId="0" fontId="2" fillId="7" borderId="5" xfId="1" applyFont="1" applyFill="1" applyBorder="1" applyAlignment="1">
      <alignment horizontal="center"/>
    </xf>
    <xf numFmtId="3" fontId="2" fillId="7" borderId="5" xfId="1" applyNumberFormat="1" applyFont="1" applyFill="1" applyBorder="1" applyAlignment="1">
      <alignment horizontal="center"/>
    </xf>
    <xf numFmtId="0" fontId="2" fillId="7" borderId="4" xfId="1" applyFont="1" applyFill="1" applyBorder="1" applyAlignment="1">
      <alignment horizontal="center"/>
    </xf>
    <xf numFmtId="0" fontId="2" fillId="7" borderId="17" xfId="1" applyFont="1" applyFill="1" applyBorder="1" applyAlignment="1"/>
    <xf numFmtId="0" fontId="0" fillId="0" borderId="0" xfId="0" applyAlignment="1">
      <alignment horizontal="right"/>
    </xf>
    <xf numFmtId="0" fontId="2" fillId="7" borderId="15" xfId="1" applyFont="1" applyFill="1" applyBorder="1" applyAlignment="1"/>
    <xf numFmtId="0" fontId="2" fillId="7" borderId="8" xfId="1" applyFont="1" applyFill="1" applyBorder="1" applyAlignment="1"/>
    <xf numFmtId="0" fontId="6" fillId="7" borderId="8" xfId="1" applyFont="1" applyFill="1" applyBorder="1" applyAlignment="1">
      <alignment horizontal="center"/>
    </xf>
    <xf numFmtId="0" fontId="2" fillId="7" borderId="3" xfId="1" applyFont="1" applyFill="1" applyBorder="1" applyAlignment="1"/>
    <xf numFmtId="0" fontId="6" fillId="7" borderId="5" xfId="1" applyFont="1" applyFill="1" applyBorder="1" applyAlignment="1">
      <alignment horizontal="center"/>
    </xf>
    <xf numFmtId="4" fontId="7" fillId="3" borderId="18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3" borderId="3" xfId="1" applyFont="1" applyFill="1" applyBorder="1" applyAlignment="1"/>
    <xf numFmtId="0" fontId="2" fillId="3" borderId="5" xfId="1" applyFont="1" applyFill="1" applyBorder="1" applyAlignment="1"/>
    <xf numFmtId="3" fontId="2" fillId="3" borderId="5" xfId="1" applyNumberFormat="1" applyFont="1" applyFill="1" applyBorder="1" applyAlignment="1">
      <alignment horizontal="center"/>
    </xf>
    <xf numFmtId="0" fontId="6" fillId="3" borderId="5" xfId="1" applyFont="1" applyFill="1" applyBorder="1" applyAlignment="1">
      <alignment horizontal="center"/>
    </xf>
    <xf numFmtId="0" fontId="2" fillId="3" borderId="5" xfId="1" applyFont="1" applyFill="1" applyBorder="1" applyAlignment="1">
      <alignment horizontal="center"/>
    </xf>
    <xf numFmtId="0" fontId="2" fillId="3" borderId="4" xfId="1" applyFont="1" applyFill="1" applyBorder="1" applyAlignment="1">
      <alignment horizontal="center"/>
    </xf>
    <xf numFmtId="0" fontId="2" fillId="3" borderId="15" xfId="1" applyFont="1" applyFill="1" applyBorder="1" applyAlignment="1"/>
    <xf numFmtId="0" fontId="2" fillId="3" borderId="8" xfId="1" applyFont="1" applyFill="1" applyBorder="1" applyAlignment="1"/>
    <xf numFmtId="3" fontId="2" fillId="3" borderId="8" xfId="1" applyNumberFormat="1" applyFont="1" applyFill="1" applyBorder="1" applyAlignment="1">
      <alignment horizontal="center"/>
    </xf>
    <xf numFmtId="0" fontId="6" fillId="3" borderId="8" xfId="1" applyFont="1" applyFill="1" applyBorder="1" applyAlignment="1">
      <alignment horizontal="center"/>
    </xf>
    <xf numFmtId="0" fontId="2" fillId="3" borderId="8" xfId="1" applyFont="1" applyFill="1" applyBorder="1" applyAlignment="1">
      <alignment horizontal="center"/>
    </xf>
    <xf numFmtId="0" fontId="2" fillId="3" borderId="9" xfId="1" applyFon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18" xfId="0" applyBorder="1" applyAlignment="1">
      <alignment horizontal="center"/>
    </xf>
    <xf numFmtId="11" fontId="7" fillId="3" borderId="2" xfId="0" applyNumberFormat="1" applyFont="1" applyFill="1" applyBorder="1" applyAlignment="1">
      <alignment horizontal="center" vertical="center"/>
    </xf>
    <xf numFmtId="11" fontId="0" fillId="8" borderId="2" xfId="0" applyNumberForma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0" xfId="0" applyNumberFormat="1"/>
    <xf numFmtId="2" fontId="0" fillId="0" borderId="4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" xfId="0" applyBorder="1" applyAlignment="1">
      <alignment horizontal="left" vertical="center"/>
    </xf>
    <xf numFmtId="0" fontId="8" fillId="0" borderId="8" xfId="0" applyFont="1" applyBorder="1"/>
    <xf numFmtId="0" fontId="0" fillId="0" borderId="8" xfId="0" applyBorder="1" applyAlignment="1">
      <alignment vertical="center"/>
    </xf>
    <xf numFmtId="0" fontId="8" fillId="0" borderId="11" xfId="0" applyFont="1" applyBorder="1"/>
    <xf numFmtId="0" fontId="0" fillId="0" borderId="0" xfId="0" applyAlignment="1">
      <alignment horizontal="left"/>
    </xf>
    <xf numFmtId="0" fontId="0" fillId="0" borderId="3" xfId="0" applyBorder="1"/>
    <xf numFmtId="1" fontId="0" fillId="8" borderId="2" xfId="0" applyNumberFormat="1" applyFill="1" applyBorder="1" applyAlignment="1">
      <alignment horizontal="center" vertical="center"/>
    </xf>
    <xf numFmtId="0" fontId="0" fillId="21" borderId="0" xfId="0" applyFill="1"/>
    <xf numFmtId="0" fontId="2" fillId="16" borderId="3" xfId="0" applyFont="1" applyFill="1" applyBorder="1" applyAlignment="1">
      <alignment horizontal="center"/>
    </xf>
    <xf numFmtId="0" fontId="2" fillId="16" borderId="4" xfId="0" applyFont="1" applyFill="1" applyBorder="1" applyAlignment="1">
      <alignment horizontal="center"/>
    </xf>
    <xf numFmtId="4" fontId="7" fillId="20" borderId="5" xfId="0" applyNumberFormat="1" applyFont="1" applyFill="1" applyBorder="1" applyAlignment="1">
      <alignment horizontal="center" vertical="center"/>
    </xf>
    <xf numFmtId="0" fontId="2" fillId="11" borderId="3" xfId="1" applyFont="1" applyFill="1" applyBorder="1" applyAlignment="1">
      <alignment horizontal="center"/>
    </xf>
    <xf numFmtId="0" fontId="2" fillId="11" borderId="5" xfId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2" fillId="13" borderId="3" xfId="1" applyFont="1" applyFill="1" applyBorder="1" applyAlignment="1">
      <alignment horizontal="center"/>
    </xf>
    <xf numFmtId="0" fontId="2" fillId="13" borderId="5" xfId="1" applyFont="1" applyFill="1" applyBorder="1" applyAlignment="1">
      <alignment horizontal="center"/>
    </xf>
    <xf numFmtId="0" fontId="2" fillId="13" borderId="4" xfId="1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7" borderId="16" xfId="1" applyFont="1" applyFill="1" applyBorder="1" applyAlignment="1">
      <alignment horizontal="center"/>
    </xf>
    <xf numFmtId="0" fontId="2" fillId="7" borderId="15" xfId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8" xfId="0" applyBorder="1" applyAlignment="1">
      <alignment horizontal="center"/>
    </xf>
  </cellXfs>
  <cellStyles count="2">
    <cellStyle name="Normal" xfId="0" builtinId="0"/>
    <cellStyle name="Saída" xfId="1" builtinId="21"/>
  </cellStyles>
  <dxfs count="15">
    <dxf>
      <fill>
        <patternFill>
          <bgColor theme="0" tint="-0.14996795556505021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  <dxf>
      <fill>
        <patternFill>
          <bgColor rgb="FFA4D76B"/>
        </patternFill>
      </fill>
    </dxf>
  </dxfs>
  <tableStyles count="0" defaultTableStyle="TableStyleMedium2" defaultPivotStyle="PivotStyleLight16"/>
  <colors>
    <mruColors>
      <color rgb="FFA4D76B"/>
      <color rgb="FF33D52B"/>
      <color rgb="FF4DDA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Corte</a:t>
            </a:r>
            <a:r>
              <a:rPr lang="pt-BR" baseline="0"/>
              <a:t> Transversal</a:t>
            </a:r>
            <a:endParaRPr lang="pt-BR"/>
          </a:p>
        </c:rich>
      </c:tx>
      <c:layout>
        <c:manualLayout>
          <c:xMode val="edge"/>
          <c:yMode val="edge"/>
          <c:x val="0.34782106782106775"/>
          <c:y val="1.05820149906324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7749031371078614E-2"/>
          <c:y val="9.1403760403555495E-2"/>
          <c:w val="0.90425696787901511"/>
          <c:h val="0.86207768638585602"/>
        </c:manualLayout>
      </c:layout>
      <c:scatterChart>
        <c:scatterStyle val="lineMarker"/>
        <c:varyColors val="0"/>
        <c:ser>
          <c:idx val="0"/>
          <c:order val="0"/>
          <c:spPr>
            <a:ln w="34925" cap="rnd" cmpd="sng">
              <a:solidFill>
                <a:schemeClr val="tx1">
                  <a:alpha val="77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41</c:v>
                </c:pt>
                <c:pt idx="2">
                  <c:v>41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C-4368-B931-B9330EE8C7A2}"/>
            </c:ext>
          </c:extLst>
        </c:ser>
        <c:ser>
          <c:idx val="1"/>
          <c:order val="1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Dados!$B$12:$B$16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Dados!$C$12:$C$16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C-4368-B931-B9330EE8C7A2}"/>
            </c:ext>
          </c:extLst>
        </c:ser>
        <c:ser>
          <c:idx val="2"/>
          <c:order val="2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Dados!$B$17:$B$21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Dados!$C$17:$C$21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1C-4368-B931-B9330EE8C7A2}"/>
            </c:ext>
          </c:extLst>
        </c:ser>
        <c:ser>
          <c:idx val="3"/>
          <c:order val="3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281C-4368-B931-B9330EE8C7A2}"/>
              </c:ext>
            </c:extLst>
          </c:dPt>
          <c:xVal>
            <c:numRef>
              <c:f>Dados!$B$22:$B$26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Dados!$C$22:$C$26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1C-4368-B931-B9330EE8C7A2}"/>
            </c:ext>
          </c:extLst>
        </c:ser>
        <c:ser>
          <c:idx val="4"/>
          <c:order val="4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Dados!$B$27:$B$31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Dados!$C$27:$C$31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1C-4368-B931-B9330EE8C7A2}"/>
            </c:ext>
          </c:extLst>
        </c:ser>
        <c:ser>
          <c:idx val="5"/>
          <c:order val="5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81C-4368-B931-B9330EE8C7A2}"/>
            </c:ext>
          </c:extLst>
        </c:ser>
        <c:ser>
          <c:idx val="6"/>
          <c:order val="6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81C-4368-B931-B9330EE8C7A2}"/>
            </c:ext>
          </c:extLst>
        </c:ser>
        <c:ser>
          <c:idx val="7"/>
          <c:order val="7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Dados!$B$37:$B$41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Dados!$C$37:$C$41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81C-4368-B931-B9330EE8C7A2}"/>
            </c:ext>
          </c:extLst>
        </c:ser>
        <c:ser>
          <c:idx val="8"/>
          <c:order val="8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Dados!$B$47:$B$51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Dados!$C$47:$C$51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81C-4368-B931-B9330EE8C7A2}"/>
            </c:ext>
          </c:extLst>
        </c:ser>
        <c:ser>
          <c:idx val="9"/>
          <c:order val="9"/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81C-4368-B931-B9330EE8C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8888888888889E-2"/>
          <c:y val="4.9134553056700288E-2"/>
          <c:w val="0.93888888888888888"/>
          <c:h val="0.9017308938865994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Dados!$B$4:$B$8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 formatCode="0.00">
                  <c:v>400</c:v>
                </c:pt>
                <c:pt idx="3" formatCode="0.00">
                  <c:v>400</c:v>
                </c:pt>
                <c:pt idx="4">
                  <c:v>0</c:v>
                </c:pt>
              </c:numCache>
            </c:numRef>
          </c:xVal>
          <c:yVal>
            <c:numRef>
              <c:f>Dados!$C$4:$C$8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41</c:v>
                </c:pt>
                <c:pt idx="2">
                  <c:v>41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5-4224-91EF-ECB6DC3C9EA2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Dados!$B$12:$B$16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Dados!$C$12:$C$16</c:f>
              <c:numCache>
                <c:formatCode>General</c:formatCode>
                <c:ptCount val="5"/>
                <c:pt idx="0" formatCode="0.00">
                  <c:v>2.5</c:v>
                </c:pt>
                <c:pt idx="1">
                  <c:v>2.5</c:v>
                </c:pt>
                <c:pt idx="2" formatCode="0.00">
                  <c:v>6.5</c:v>
                </c:pt>
                <c:pt idx="3" formatCode="0.00">
                  <c:v>6.5</c:v>
                </c:pt>
                <c:pt idx="4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D5-4224-91EF-ECB6DC3C9EA2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Dados!$B$17:$B$21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Dados!$C$17:$C$21</c:f>
              <c:numCache>
                <c:formatCode>General</c:formatCode>
                <c:ptCount val="5"/>
                <c:pt idx="0" formatCode="0.00">
                  <c:v>18.5</c:v>
                </c:pt>
                <c:pt idx="1">
                  <c:v>18.5</c:v>
                </c:pt>
                <c:pt idx="2" formatCode="0.00">
                  <c:v>22.5</c:v>
                </c:pt>
                <c:pt idx="3" formatCode="0.00">
                  <c:v>22.5</c:v>
                </c:pt>
                <c:pt idx="4">
                  <c:v>18.5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D5-4224-91EF-ECB6DC3C9EA2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98D5-4224-91EF-ECB6DC3C9EA2}"/>
              </c:ext>
            </c:extLst>
          </c:dPt>
          <c:xVal>
            <c:numRef>
              <c:f>Dados!$B$22:$B$26</c:f>
              <c:numCache>
                <c:formatCode>0.00</c:formatCode>
                <c:ptCount val="5"/>
                <c:pt idx="0">
                  <c:v>4</c:v>
                </c:pt>
                <c:pt idx="1">
                  <c:v>396</c:v>
                </c:pt>
                <c:pt idx="2">
                  <c:v>396</c:v>
                </c:pt>
                <c:pt idx="3" formatCode="General">
                  <c:v>4</c:v>
                </c:pt>
                <c:pt idx="4" formatCode="General">
                  <c:v>4</c:v>
                </c:pt>
              </c:numCache>
            </c:numRef>
          </c:xVal>
          <c:yVal>
            <c:numRef>
              <c:f>Dados!$C$22:$C$26</c:f>
              <c:numCache>
                <c:formatCode>General</c:formatCode>
                <c:ptCount val="5"/>
                <c:pt idx="0" formatCode="0.00">
                  <c:v>34.5</c:v>
                </c:pt>
                <c:pt idx="1">
                  <c:v>34.5</c:v>
                </c:pt>
                <c:pt idx="2" formatCode="0.00">
                  <c:v>38.5</c:v>
                </c:pt>
                <c:pt idx="3" formatCode="0.00">
                  <c:v>38.5</c:v>
                </c:pt>
                <c:pt idx="4">
                  <c:v>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D5-4224-91EF-ECB6DC3C9EA2}"/>
            </c:ext>
          </c:extLst>
        </c:ser>
        <c:ser>
          <c:idx val="4"/>
          <c:order val="4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Dados!$B$27:$B$31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Dados!$C$27:$C$31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D5-4224-91EF-ECB6DC3C9EA2}"/>
            </c:ext>
          </c:extLst>
        </c:ser>
        <c:ser>
          <c:idx val="5"/>
          <c:order val="5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8D5-4224-91EF-ECB6DC3C9EA2}"/>
            </c:ext>
          </c:extLst>
        </c:ser>
        <c:ser>
          <c:idx val="6"/>
          <c:order val="6"/>
          <c:spPr>
            <a:ln w="19050" cap="rnd">
              <a:solidFill>
                <a:schemeClr val="accent3">
                  <a:shade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Dados!$B$32:$B$36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Dados!$C$32:$C$36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8D5-4224-91EF-ECB6DC3C9EA2}"/>
            </c:ext>
          </c:extLst>
        </c:ser>
        <c:ser>
          <c:idx val="7"/>
          <c:order val="7"/>
          <c:spPr>
            <a:ln w="19050" cap="rnd">
              <a:solidFill>
                <a:schemeClr val="accent3">
                  <a:shade val="68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Dados!$B$37:$B$41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Dados!$C$37:$C$41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8D5-4224-91EF-ECB6DC3C9EA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shade val="5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Dados!$B$47:$B$51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Dados!$C$47:$C$51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8D5-4224-91EF-ECB6DC3C9EA2}"/>
            </c:ext>
          </c:extLst>
        </c:ser>
        <c:ser>
          <c:idx val="9"/>
          <c:order val="9"/>
          <c:spPr>
            <a:ln w="19050" cap="rnd">
              <a:solidFill>
                <a:schemeClr val="accent3">
                  <a:shade val="42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Dados!$B$42:$B$46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xVal>
          <c:yVal>
            <c:numRef>
              <c:f>Dados!$C$42:$C$46</c:f>
              <c:numCache>
                <c:formatCode>General</c:formatCode>
                <c:ptCount val="5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3" formatCode="0.00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8D5-4224-91EF-ECB6DC3C9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55888"/>
        <c:axId val="998357328"/>
      </c:scatterChart>
      <c:valAx>
        <c:axId val="99835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98357328"/>
        <c:crosses val="autoZero"/>
        <c:crossBetween val="midCat"/>
      </c:valAx>
      <c:valAx>
        <c:axId val="998357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9835588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276225</xdr:colOff>
      <xdr:row>66</xdr:row>
      <xdr:rowOff>33337</xdr:rowOff>
    </xdr:from>
    <xdr:ext cx="986680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F85E1E4-A42C-9A48-A064-9DF457A50CAC}"/>
                </a:ext>
              </a:extLst>
            </xdr:cNvPr>
            <xdr:cNvSpPr txBox="1"/>
          </xdr:nvSpPr>
          <xdr:spPr>
            <a:xfrm>
              <a:off x="7029450" y="9005887"/>
              <a:ext cx="98668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𝑎𝑏</m:t>
                        </m:r>
                      </m:den>
                    </m:f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F85E1E4-A42C-9A48-A064-9DF457A50CAC}"/>
                </a:ext>
              </a:extLst>
            </xdr:cNvPr>
            <xdr:cNvSpPr txBox="1"/>
          </xdr:nvSpPr>
          <xdr:spPr>
            <a:xfrm>
              <a:off x="7029450" y="9005887"/>
              <a:ext cx="98668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pt-BR" sz="1100" b="0" i="0" kern="1200">
                  <a:latin typeface="Cambria Math" panose="02040503050406030204" pitchFamily="18" charset="0"/>
                </a:rPr>
                <a:t>𝑘=  𝑁_𝑘/𝑎𝑏≤</a:t>
              </a:r>
              <a:r>
                <a:rPr lang="pt-B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𝑙𝑖𝑚</a:t>
              </a:r>
              <a:endParaRPr lang="pt-BR" sz="1100" kern="1200"/>
            </a:p>
          </xdr:txBody>
        </xdr:sp>
      </mc:Fallback>
    </mc:AlternateContent>
    <xdr:clientData/>
  </xdr:oneCellAnchor>
  <xdr:twoCellAnchor>
    <xdr:from>
      <xdr:col>13</xdr:col>
      <xdr:colOff>723899</xdr:colOff>
      <xdr:row>26</xdr:row>
      <xdr:rowOff>0</xdr:rowOff>
    </xdr:from>
    <xdr:to>
      <xdr:col>15</xdr:col>
      <xdr:colOff>600075</xdr:colOff>
      <xdr:row>28</xdr:row>
      <xdr:rowOff>0</xdr:rowOff>
    </xdr:to>
    <xdr:sp macro="[0]!Export_Table_Word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019C1AA-4F70-5346-30A6-062788D5F513}"/>
            </a:ext>
          </a:extLst>
        </xdr:cNvPr>
        <xdr:cNvSpPr/>
      </xdr:nvSpPr>
      <xdr:spPr>
        <a:xfrm>
          <a:off x="11096624" y="5000625"/>
          <a:ext cx="1209676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Exportar</a:t>
          </a:r>
        </a:p>
      </xdr:txBody>
    </xdr:sp>
    <xdr:clientData/>
  </xdr:twoCellAnchor>
  <xdr:oneCellAnchor>
    <xdr:from>
      <xdr:col>8</xdr:col>
      <xdr:colOff>171450</xdr:colOff>
      <xdr:row>72</xdr:row>
      <xdr:rowOff>176212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23FACF5-FA95-D08E-AF4F-74D2D7B7FCFC}"/>
                </a:ext>
              </a:extLst>
            </xdr:cNvPr>
            <xdr:cNvSpPr txBox="1"/>
          </xdr:nvSpPr>
          <xdr:spPr>
            <a:xfrm>
              <a:off x="6172200" y="8996362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𝜇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=0,1+0,6</m:t>
                    </m:r>
                    <m:r>
                      <m:rPr>
                        <m:lit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sSubSup>
                      <m:sSubSup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𝑚𝑘</m:t>
                        </m:r>
                      </m:sub>
                      <m: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bSup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23FACF5-FA95-D08E-AF4F-74D2D7B7FCFC}"/>
                </a:ext>
              </a:extLst>
            </xdr:cNvPr>
            <xdr:cNvSpPr txBox="1"/>
          </xdr:nvSpPr>
          <xdr:spPr>
            <a:xfrm>
              <a:off x="6172200" y="8996362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 kern="1200">
                  <a:latin typeface="Cambria Math" panose="02040503050406030204" pitchFamily="18" charset="0"/>
                </a:rPr>
                <a:t>𝜇=0,1+0,6\/𝜎_𝑚𝑘^′</a:t>
              </a:r>
              <a:endParaRPr lang="pt-BR" sz="1100" kern="1200"/>
            </a:p>
          </xdr:txBody>
        </xdr:sp>
      </mc:Fallback>
    </mc:AlternateContent>
    <xdr:clientData/>
  </xdr:oneCellAnchor>
  <xdr:oneCellAnchor>
    <xdr:from>
      <xdr:col>8</xdr:col>
      <xdr:colOff>133350</xdr:colOff>
      <xdr:row>75</xdr:row>
      <xdr:rowOff>57150</xdr:rowOff>
    </xdr:from>
    <xdr:ext cx="2276475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F8E043E-2508-433D-B4E1-53F29FF33DC1}"/>
                </a:ext>
              </a:extLst>
            </xdr:cNvPr>
            <xdr:cNvSpPr txBox="1"/>
          </xdr:nvSpPr>
          <xdr:spPr>
            <a:xfrm>
              <a:off x="6134100" y="10210800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𝜇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𝑔𝑘</m:t>
                        </m:r>
                      </m:sub>
                    </m:sSub>
                  </m:oMath>
                </m:oMathPara>
              </a14:m>
              <a:endParaRPr lang="pt-BR" sz="1100" kern="12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F8E043E-2508-433D-B4E1-53F29FF33DC1}"/>
                </a:ext>
              </a:extLst>
            </xdr:cNvPr>
            <xdr:cNvSpPr txBox="1"/>
          </xdr:nvSpPr>
          <xdr:spPr>
            <a:xfrm>
              <a:off x="6134100" y="10210800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𝐻_𝑝=𝜇𝑁_𝑔𝑘</a:t>
              </a:r>
              <a:endParaRPr lang="pt-BR" sz="1100" kern="1200"/>
            </a:p>
          </xdr:txBody>
        </xdr:sp>
      </mc:Fallback>
    </mc:AlternateContent>
    <xdr:clientData/>
  </xdr:oneCellAnchor>
  <xdr:oneCellAnchor>
    <xdr:from>
      <xdr:col>2</xdr:col>
      <xdr:colOff>180975</xdr:colOff>
      <xdr:row>86</xdr:row>
      <xdr:rowOff>9525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9FE47F5-DBCC-4EB8-8260-589C5E05E183}"/>
                </a:ext>
              </a:extLst>
            </xdr:cNvPr>
            <xdr:cNvSpPr txBox="1"/>
          </xdr:nvSpPr>
          <xdr:spPr>
            <a:xfrm>
              <a:off x="1400175" y="1244917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ϵ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q</m:t>
                        </m:r>
                      </m:sub>
                    </m:sSub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A9FE47F5-DBCC-4EB8-8260-589C5E05E183}"/>
                </a:ext>
              </a:extLst>
            </xdr:cNvPr>
            <xdr:cNvSpPr txBox="1"/>
          </xdr:nvSpPr>
          <xdr:spPr>
            <a:xfrm>
              <a:off x="1400175" y="1244917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𝜖_𝑘+ϵ_q≤𝜖_𝑙𝑖𝑚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190500</xdr:colOff>
      <xdr:row>83</xdr:row>
      <xdr:rowOff>0</xdr:rowOff>
    </xdr:from>
    <xdr:ext cx="2276475" cy="34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8AA47D0-741B-4EAA-B682-43E411AB6497}"/>
                </a:ext>
              </a:extLst>
            </xdr:cNvPr>
            <xdr:cNvSpPr txBox="1"/>
          </xdr:nvSpPr>
          <xdr:spPr>
            <a:xfrm>
              <a:off x="6334125" y="14077950"/>
              <a:ext cx="2276475" cy="345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𝐺𝑎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e>
                        </m:d>
                      </m:den>
                    </m:f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D8AA47D0-741B-4EAA-B682-43E411AB6497}"/>
                </a:ext>
              </a:extLst>
            </xdr:cNvPr>
            <xdr:cNvSpPr txBox="1"/>
          </xdr:nvSpPr>
          <xdr:spPr>
            <a:xfrm>
              <a:off x="6334125" y="14077950"/>
              <a:ext cx="2276475" cy="345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𝜖_𝑔=𝐻_𝑔/((𝐺𝑎′𝑏′) )</a:t>
              </a:r>
              <a:r>
                <a:rPr lang="pt-BR" sz="11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 Σℎ_𝑖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9</xdr:col>
      <xdr:colOff>247650</xdr:colOff>
      <xdr:row>84</xdr:row>
      <xdr:rowOff>161925</xdr:rowOff>
    </xdr:from>
    <xdr:ext cx="2276475" cy="1826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BB138BD-4FFE-4F3B-BB19-54AF864294AE}"/>
                </a:ext>
              </a:extLst>
            </xdr:cNvPr>
            <xdr:cNvSpPr txBox="1"/>
          </xdr:nvSpPr>
          <xdr:spPr>
            <a:xfrm>
              <a:off x="7000875" y="14468475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𝜖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𝑞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𝐻</m:t>
                      </m:r>
                    </m:e>
                    <m:sub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𝑞</m:t>
                      </m:r>
                    </m:sub>
                  </m:sSub>
                  <m:r>
                    <a:rPr lang="pt-BR" sz="1100" b="0" i="1" kern="1200">
                      <a:latin typeface="Cambria Math" panose="02040503050406030204" pitchFamily="18" charset="0"/>
                    </a:rPr>
                    <m:t>/</m:t>
                  </m:r>
                  <m:d>
                    <m:dPr>
                      <m:ctrlPr>
                        <a:rPr lang="pt-BR" sz="1100" b="0" i="1" kern="1200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2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𝐺𝑎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′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𝑏</m:t>
                      </m:r>
                      <m:r>
                        <a:rPr lang="pt-BR" sz="1100" b="0" i="1" kern="1200">
                          <a:latin typeface="Cambria Math" panose="02040503050406030204" pitchFamily="18" charset="0"/>
                        </a:rPr>
                        <m:t>′</m:t>
                      </m:r>
                    </m:e>
                  </m:d>
                  <m:r>
                    <m:rPr>
                      <m:sty m:val="p"/>
                    </m:rPr>
                    <a:rPr lang="pt-B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Σ</m:t>
                  </m:r>
                  <m:sSub>
                    <m:sSubPr>
                      <m:ctrlP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</m:t>
                      </m:r>
                    </m:e>
                    <m:sub>
                      <m:r>
                        <a:rPr lang="pt-B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</m:sub>
                  </m:sSub>
                </m:oMath>
              </a14:m>
              <a:r>
                <a:rPr lang="pt-BR" sz="1100" b="0" kern="1200"/>
                <a:t> </a:t>
              </a:r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3BB138BD-4FFE-4F3B-BB19-54AF864294AE}"/>
                </a:ext>
              </a:extLst>
            </xdr:cNvPr>
            <xdr:cNvSpPr txBox="1"/>
          </xdr:nvSpPr>
          <xdr:spPr>
            <a:xfrm>
              <a:off x="7000875" y="14468475"/>
              <a:ext cx="2276475" cy="1826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𝜖_𝑞=𝐻_𝑞/(2𝐺𝑎′𝑏′)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Σℎ_𝑖</a:t>
              </a:r>
              <a:r>
                <a:rPr lang="pt-BR" sz="1100" b="0" kern="1200"/>
                <a:t> </a:t>
              </a:r>
            </a:p>
          </xdr:txBody>
        </xdr:sp>
      </mc:Fallback>
    </mc:AlternateContent>
    <xdr:clientData/>
  </xdr:oneCellAnchor>
  <xdr:oneCellAnchor>
    <xdr:from>
      <xdr:col>8</xdr:col>
      <xdr:colOff>38100</xdr:colOff>
      <xdr:row>82</xdr:row>
      <xdr:rowOff>19050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63A1E05-9F8C-4D9F-ABA9-292F5AB71792}"/>
                </a:ext>
              </a:extLst>
            </xdr:cNvPr>
            <xdr:cNvSpPr txBox="1"/>
          </xdr:nvSpPr>
          <xdr:spPr>
            <a:xfrm>
              <a:off x="6181725" y="1120140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963A1E05-9F8C-4D9F-ABA9-292F5AB71792}"/>
                </a:ext>
              </a:extLst>
            </xdr:cNvPr>
            <xdr:cNvSpPr txBox="1"/>
          </xdr:nvSpPr>
          <xdr:spPr>
            <a:xfrm>
              <a:off x="6181725" y="1120140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 kern="1200">
                  <a:latin typeface="Cambria Math" panose="02040503050406030204" pitchFamily="18" charset="0"/>
                </a:rPr>
                <a:t>𝜖_𝑙𝑖𝑚=0,5ℎ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85725</xdr:colOff>
      <xdr:row>85</xdr:row>
      <xdr:rowOff>142875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BD870DC-7ED0-453F-8B6C-27F0B8C8130A}"/>
                </a:ext>
              </a:extLst>
            </xdr:cNvPr>
            <xdr:cNvSpPr txBox="1"/>
          </xdr:nvSpPr>
          <xdr:spPr>
            <a:xfrm>
              <a:off x="6229350" y="1467802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𝜖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𝜖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 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ϵ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q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EBD870DC-7ED0-453F-8B6C-27F0B8C8130A}"/>
                </a:ext>
              </a:extLst>
            </xdr:cNvPr>
            <xdr:cNvSpPr txBox="1"/>
          </xdr:nvSpPr>
          <xdr:spPr>
            <a:xfrm>
              <a:off x="6229350" y="14678025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𝜖〖=𝜖〗_𝑘+ ϵ_q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200025</xdr:colOff>
      <xdr:row>91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EF64D8DD-3EC3-47DA-87CF-1E03FFCA04DA}"/>
                </a:ext>
              </a:extLst>
            </xdr:cNvPr>
            <xdr:cNvSpPr txBox="1"/>
          </xdr:nvSpPr>
          <xdr:spPr>
            <a:xfrm>
              <a:off x="6343650" y="138969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Δ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=0,15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EF64D8DD-3EC3-47DA-87CF-1E03FFCA04DA}"/>
                </a:ext>
              </a:extLst>
            </xdr:cNvPr>
            <xdr:cNvSpPr txBox="1"/>
          </xdr:nvSpPr>
          <xdr:spPr>
            <a:xfrm>
              <a:off x="6343650" y="138969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Δℎ_𝑙𝑖𝑚=0,15ℎ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338979</xdr:colOff>
      <xdr:row>92</xdr:row>
      <xdr:rowOff>161925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9DBB57DD-2D57-437F-AB95-591C1A5D0901}"/>
                </a:ext>
              </a:extLst>
            </xdr:cNvPr>
            <xdr:cNvSpPr txBox="1"/>
          </xdr:nvSpPr>
          <xdr:spPr>
            <a:xfrm>
              <a:off x="6468597" y="1846113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9DBB57DD-2D57-437F-AB95-591C1A5D0901}"/>
                </a:ext>
              </a:extLst>
            </xdr:cNvPr>
            <xdr:cNvSpPr txBox="1"/>
          </xdr:nvSpPr>
          <xdr:spPr>
            <a:xfrm>
              <a:off x="6468597" y="1846113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333375</xdr:colOff>
      <xdr:row>94</xdr:row>
      <xdr:rowOff>209550</xdr:rowOff>
    </xdr:from>
    <xdr:ext cx="2276475" cy="278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50A51231-9413-4483-B57E-E4D20B918E4B}"/>
                </a:ext>
              </a:extLst>
            </xdr:cNvPr>
            <xdr:cNvSpPr txBox="1"/>
          </xdr:nvSpPr>
          <xdr:spPr>
            <a:xfrm>
              <a:off x="6477000" y="16535400"/>
              <a:ext cx="2276475" cy="278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skw"/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</m:t>
                        </m:r>
                      </m:num>
                      <m:den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h𝑖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′+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′)</m:t>
                        </m:r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50A51231-9413-4483-B57E-E4D20B918E4B}"/>
                </a:ext>
              </a:extLst>
            </xdr:cNvPr>
            <xdr:cNvSpPr txBox="1"/>
          </xdr:nvSpPr>
          <xdr:spPr>
            <a:xfrm>
              <a:off x="6477000" y="16535400"/>
              <a:ext cx="2276475" cy="278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𝑆_𝑖=𝑎′𝑏′⁄(2ℎ𝑖(𝑎′+𝑏′))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327773</xdr:colOff>
      <xdr:row>93</xdr:row>
      <xdr:rowOff>209550</xdr:rowOff>
    </xdr:from>
    <xdr:ext cx="2276475" cy="1994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FD43C982-0AAB-497C-A980-483FB1A1E3E0}"/>
                </a:ext>
              </a:extLst>
            </xdr:cNvPr>
            <xdr:cNvSpPr txBox="1"/>
          </xdr:nvSpPr>
          <xdr:spPr>
            <a:xfrm>
              <a:off x="6457391" y="18699256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/[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FD43C982-0AAB-497C-A980-483FB1A1E3E0}"/>
                </a:ext>
              </a:extLst>
            </xdr:cNvPr>
            <xdr:cNvSpPr txBox="1"/>
          </xdr:nvSpPr>
          <xdr:spPr>
            <a:xfrm>
              <a:off x="6457391" y="18699256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𝜎_𝑞=𝑁_𝑞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428625</xdr:colOff>
      <xdr:row>96</xdr:row>
      <xdr:rowOff>85725</xdr:rowOff>
    </xdr:from>
    <xdr:ext cx="2276475" cy="4376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4BE9CA5D-0655-4727-ACC5-831439786C8E}"/>
                </a:ext>
              </a:extLst>
            </xdr:cNvPr>
            <xdr:cNvSpPr txBox="1"/>
          </xdr:nvSpPr>
          <xdr:spPr>
            <a:xfrm>
              <a:off x="6572250" y="16868775"/>
              <a:ext cx="2276475" cy="4376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1" kern="1200">
                        <a:latin typeface="Cambria Math" panose="02040503050406030204" pitchFamily="18" charset="0"/>
                      </a:rPr>
                      <m:t>Δ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d>
                              <m:d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𝑔</m:t>
                                    </m:r>
                                  </m:sub>
                                </m:s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𝜎</m:t>
                                    </m:r>
                                  </m:e>
                                  <m:sub>
                                    <m:r>
                                      <a:rPr lang="pt-B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sub>
                                </m:sSub>
                              </m:e>
                            </m:d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h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𝑔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𝜎</m:t>
                                </m:r>
                              </m:e>
                              <m:sub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sub>
                            </m:s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den>
                        </m:f>
                      </m:e>
                    </m:nary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4BE9CA5D-0655-4727-ACC5-831439786C8E}"/>
                </a:ext>
              </a:extLst>
            </xdr:cNvPr>
            <xdr:cNvSpPr txBox="1"/>
          </xdr:nvSpPr>
          <xdr:spPr>
            <a:xfrm>
              <a:off x="6572250" y="16868775"/>
              <a:ext cx="2276475" cy="4376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Δℎ=∑▒</a:t>
              </a:r>
              <a:r>
                <a:rPr lang="pt-BR" sz="11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𝜎_𝑔+𝜎_𝑞 )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ℎ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)/(𝑘_1 𝐺𝑆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+𝑘_2 (𝜎_𝑔+𝜎_𝑞))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180975</xdr:colOff>
      <xdr:row>97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704997A1-175D-4E93-B1DE-0808E063E674}"/>
                </a:ext>
              </a:extLst>
            </xdr:cNvPr>
            <xdr:cNvSpPr txBox="1"/>
          </xdr:nvSpPr>
          <xdr:spPr>
            <a:xfrm>
              <a:off x="1400175" y="156876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h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704997A1-175D-4E93-B1DE-0808E063E674}"/>
                </a:ext>
              </a:extLst>
            </xdr:cNvPr>
            <xdr:cNvSpPr txBox="1"/>
          </xdr:nvSpPr>
          <xdr:spPr>
            <a:xfrm>
              <a:off x="1400175" y="1568767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Δℎ≤〖Δℎ〗_𝑙𝑖𝑚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447675</xdr:colOff>
      <xdr:row>132</xdr:row>
      <xdr:rowOff>28575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703633EE-A51D-47FF-90CB-FB8D88DEEF7A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2" name="CaixaDeTexto 21">
              <a:extLst>
                <a:ext uri="{FF2B5EF4-FFF2-40B4-BE49-F238E27FC236}">
                  <a16:creationId xmlns:a16="http://schemas.microsoft.com/office/drawing/2014/main" id="{703633EE-A51D-47FF-90CB-FB8D88DEEF7A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𝜏_𝑛+𝜏_ℎ+𝜏_𝜃≤5𝐺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2</xdr:col>
      <xdr:colOff>447675</xdr:colOff>
      <xdr:row>144</xdr:row>
      <xdr:rowOff>28575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1E21BEDA-2F33-4AF1-9954-0B64C1E97F9C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1E21BEDA-2F33-4AF1-9954-0B64C1E97F9C}"/>
                </a:ext>
              </a:extLst>
            </xdr:cNvPr>
            <xdr:cNvSpPr txBox="1"/>
          </xdr:nvSpPr>
          <xdr:spPr>
            <a:xfrm>
              <a:off x="1666875" y="183356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𝜏_𝑛+𝜏_ℎ+𝜏_𝜃≤5𝐺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twoCellAnchor editAs="oneCell">
    <xdr:from>
      <xdr:col>17</xdr:col>
      <xdr:colOff>280545</xdr:colOff>
      <xdr:row>22</xdr:row>
      <xdr:rowOff>164567</xdr:rowOff>
    </xdr:from>
    <xdr:to>
      <xdr:col>28</xdr:col>
      <xdr:colOff>132628</xdr:colOff>
      <xdr:row>49</xdr:row>
      <xdr:rowOff>26896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8BE0C921-3BF1-443F-CE35-3CCA4E754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457" y="4736567"/>
          <a:ext cx="6878171" cy="5073064"/>
        </a:xfrm>
        <a:prstGeom prst="rect">
          <a:avLst/>
        </a:prstGeom>
      </xdr:spPr>
    </xdr:pic>
    <xdr:clientData/>
  </xdr:twoCellAnchor>
  <xdr:oneCellAnchor>
    <xdr:from>
      <xdr:col>2</xdr:col>
      <xdr:colOff>180975</xdr:colOff>
      <xdr:row>108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5888719F-A417-4BE7-AA98-4277FFE45BB3}"/>
                </a:ext>
              </a:extLst>
            </xdr:cNvPr>
            <xdr:cNvSpPr txBox="1"/>
          </xdr:nvSpPr>
          <xdr:spPr>
            <a:xfrm>
              <a:off x="1400175" y="163925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m:rPr>
                        <m:sty m:val="p"/>
                      </m:rPr>
                      <a:rPr lang="el-GR" sz="1100" b="0" i="0" kern="1200">
                        <a:latin typeface="Cambria Math" panose="02040503050406030204" pitchFamily="18" charset="0"/>
                      </a:rPr>
                      <m:t>θ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l-G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5888719F-A417-4BE7-AA98-4277FFE45BB3}"/>
                </a:ext>
              </a:extLst>
            </xdr:cNvPr>
            <xdr:cNvSpPr txBox="1"/>
          </xdr:nvSpPr>
          <xdr:spPr>
            <a:xfrm>
              <a:off x="1400175" y="16392525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</a:t>
              </a:r>
              <a:r>
                <a:rPr lang="el-GR" sz="1100" b="0" i="0" kern="1200">
                  <a:latin typeface="Cambria Math" panose="02040503050406030204" pitchFamily="18" charset="0"/>
                </a:rPr>
                <a:t>θ</a:t>
              </a:r>
              <a:r>
                <a:rPr lang="pt-BR" sz="1100" b="0" i="0" kern="1200">
                  <a:latin typeface="Cambria Math" panose="02040503050406030204" pitchFamily="18" charset="0"/>
                </a:rPr>
                <a:t>≤〖Δ</a:t>
              </a:r>
              <a:r>
                <a:rPr lang="el-GR" sz="1100" b="0" i="0" kern="1200">
                  <a:latin typeface="Cambria Math" panose="02040503050406030204" pitchFamily="18" charset="0"/>
                </a:rPr>
                <a:t>𝜃</a:t>
              </a:r>
              <a:r>
                <a:rPr lang="pt-BR" sz="1100" b="0" i="0" kern="1200">
                  <a:latin typeface="Cambria Math" panose="02040503050406030204" pitchFamily="18" charset="0"/>
                </a:rPr>
                <a:t>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381000</xdr:colOff>
      <xdr:row>104</xdr:row>
      <xdr:rowOff>209550</xdr:rowOff>
    </xdr:from>
    <xdr:ext cx="2276475" cy="347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589590-B724-47F0-9EFA-861F8A183328}"/>
                </a:ext>
              </a:extLst>
            </xdr:cNvPr>
            <xdr:cNvSpPr txBox="1"/>
          </xdr:nvSpPr>
          <xdr:spPr>
            <a:xfrm>
              <a:off x="6510618" y="20873197"/>
              <a:ext cx="2276475" cy="34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Sup>
                          <m:sSub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AD589590-B724-47F0-9EFA-861F8A183328}"/>
                </a:ext>
              </a:extLst>
            </xdr:cNvPr>
            <xdr:cNvSpPr txBox="1"/>
          </xdr:nvSpPr>
          <xdr:spPr>
            <a:xfrm>
              <a:off x="6510618" y="20873197"/>
              <a:ext cx="2276475" cy="3472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h_1=𝜎_𝑔/(𝑘_1 𝐺𝑆_𝑖^2+𝑘_2 𝜎_𝑔 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304800</xdr:colOff>
      <xdr:row>107</xdr:row>
      <xdr:rowOff>52668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CCC8B67A-716A-41CE-8968-81E73E1319B2}"/>
                </a:ext>
              </a:extLst>
            </xdr:cNvPr>
            <xdr:cNvSpPr txBox="1"/>
          </xdr:nvSpPr>
          <xdr:spPr>
            <a:xfrm>
              <a:off x="6434418" y="2135505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tan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⁡(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)=6</m:t>
                    </m:r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CCC8B67A-716A-41CE-8968-81E73E1319B2}"/>
                </a:ext>
              </a:extLst>
            </xdr:cNvPr>
            <xdr:cNvSpPr txBox="1"/>
          </xdr:nvSpPr>
          <xdr:spPr>
            <a:xfrm>
              <a:off x="6434418" y="21355050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tan⁡(𝜃_𝑙𝑖𝑚)=6Σ〖 ℎ_𝑖 ℎ〗_1𝑖/𝑎′</a:t>
              </a:r>
              <a:endParaRPr lang="pt-BR" sz="1100" b="0" kern="1200"/>
            </a:p>
          </xdr:txBody>
        </xdr:sp>
      </mc:Fallback>
    </mc:AlternateContent>
    <xdr:clientData/>
  </xdr:oneCellAnchor>
  <xdr:twoCellAnchor>
    <xdr:from>
      <xdr:col>0</xdr:col>
      <xdr:colOff>228600</xdr:colOff>
      <xdr:row>47</xdr:row>
      <xdr:rowOff>104775</xdr:rowOff>
    </xdr:from>
    <xdr:to>
      <xdr:col>5</xdr:col>
      <xdr:colOff>314325</xdr:colOff>
      <xdr:row>61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58BBD956-0D1A-4DA4-8F92-62052BACBC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</xdr:col>
      <xdr:colOff>180975</xdr:colOff>
      <xdr:row>119</xdr:row>
      <xdr:rowOff>9525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ABD638C-7389-4739-85DC-C7A23844B484}"/>
                </a:ext>
              </a:extLst>
            </xdr:cNvPr>
            <xdr:cNvSpPr txBox="1"/>
          </xdr:nvSpPr>
          <xdr:spPr>
            <a:xfrm>
              <a:off x="1402416" y="21076584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Δ</m:t>
                    </m:r>
                    <m:r>
                      <m:rPr>
                        <m:sty m:val="p"/>
                      </m:rPr>
                      <a:rPr lang="el-GR" sz="1100" b="0" i="0" kern="1200">
                        <a:latin typeface="Cambria Math" panose="02040503050406030204" pitchFamily="18" charset="0"/>
                      </a:rPr>
                      <m:t>θ</m:t>
                    </m:r>
                    <m:r>
                      <a:rPr lang="pt-BR" sz="1100" b="0" i="0" kern="1200">
                        <a:latin typeface="Cambria Math" panose="02040503050406030204" pitchFamily="18" charset="0"/>
                      </a:rPr>
                      <m:t>≤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0" kern="120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el-G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ABD638C-7389-4739-85DC-C7A23844B484}"/>
                </a:ext>
              </a:extLst>
            </xdr:cNvPr>
            <xdr:cNvSpPr txBox="1"/>
          </xdr:nvSpPr>
          <xdr:spPr>
            <a:xfrm>
              <a:off x="1402416" y="21076584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Δ</a:t>
              </a:r>
              <a:r>
                <a:rPr lang="el-GR" sz="1100" b="0" i="0" kern="1200">
                  <a:latin typeface="Cambria Math" panose="02040503050406030204" pitchFamily="18" charset="0"/>
                </a:rPr>
                <a:t>θ</a:t>
              </a:r>
              <a:r>
                <a:rPr lang="pt-BR" sz="1100" b="0" i="0" kern="1200">
                  <a:latin typeface="Cambria Math" panose="02040503050406030204" pitchFamily="18" charset="0"/>
                </a:rPr>
                <a:t>≤〖Δ</a:t>
              </a:r>
              <a:r>
                <a:rPr lang="el-GR" sz="1100" b="0" i="0" kern="1200">
                  <a:latin typeface="Cambria Math" panose="02040503050406030204" pitchFamily="18" charset="0"/>
                </a:rPr>
                <a:t>𝜃</a:t>
              </a:r>
              <a:r>
                <a:rPr lang="pt-BR" sz="1100" b="0" i="0" kern="1200">
                  <a:latin typeface="Cambria Math" panose="02040503050406030204" pitchFamily="18" charset="0"/>
                </a:rPr>
                <a:t>〗_𝑙𝑖𝑚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336176</xdr:colOff>
      <xdr:row>116</xdr:row>
      <xdr:rowOff>7844</xdr:rowOff>
    </xdr:from>
    <xdr:ext cx="2276475" cy="3659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E393A4E-D120-48AB-967F-04C0F1B4CC1D}"/>
                </a:ext>
              </a:extLst>
            </xdr:cNvPr>
            <xdr:cNvSpPr txBox="1"/>
          </xdr:nvSpPr>
          <xdr:spPr>
            <a:xfrm>
              <a:off x="6465794" y="23091962"/>
              <a:ext cx="2276475" cy="3659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𝑞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𝐺</m:t>
                        </m:r>
                        <m:sSubSup>
                          <m:sSub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DE393A4E-D120-48AB-967F-04C0F1B4CC1D}"/>
                </a:ext>
              </a:extLst>
            </xdr:cNvPr>
            <xdr:cNvSpPr txBox="1"/>
          </xdr:nvSpPr>
          <xdr:spPr>
            <a:xfrm>
              <a:off x="6465794" y="23091962"/>
              <a:ext cx="2276475" cy="3659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h_1=(𝜎_𝑔+𝜎_𝑞)/(𝑘_1 𝐺𝑆_𝑖^2+𝑘_2 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𝜎_𝑔+𝜎_𝑞</a:t>
              </a:r>
              <a:r>
                <a:rPr lang="pt-BR" sz="1100" b="0" i="0" kern="1200">
                  <a:latin typeface="Cambria Math" panose="02040503050406030204" pitchFamily="18" charset="0"/>
                </a:rPr>
                <a:t>))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304800</xdr:colOff>
      <xdr:row>118</xdr:row>
      <xdr:rowOff>19050</xdr:rowOff>
    </xdr:from>
    <xdr:ext cx="22764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C88D2A22-6A8C-407C-B3A1-CBB14B44D2C3}"/>
                </a:ext>
              </a:extLst>
            </xdr:cNvPr>
            <xdr:cNvSpPr txBox="1"/>
          </xdr:nvSpPr>
          <xdr:spPr>
            <a:xfrm>
              <a:off x="6434418" y="20895609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tan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⁡(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𝑙𝑖𝑚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)=6</m:t>
                    </m:r>
                    <m:r>
                      <m:rPr>
                        <m:sty m:val="p"/>
                      </m:rPr>
                      <a:rPr lang="pt-BR" sz="1100" b="0" i="0" kern="1200">
                        <a:latin typeface="Cambria Math" panose="02040503050406030204" pitchFamily="18" charset="0"/>
                      </a:rPr>
                      <m:t>Σ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1</m:t>
                        </m:r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𝑎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C88D2A22-6A8C-407C-B3A1-CBB14B44D2C3}"/>
                </a:ext>
              </a:extLst>
            </xdr:cNvPr>
            <xdr:cNvSpPr txBox="1"/>
          </xdr:nvSpPr>
          <xdr:spPr>
            <a:xfrm>
              <a:off x="6434418" y="20895609"/>
              <a:ext cx="22764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tan⁡(𝜃_𝑙𝑖𝑚)=6Σ〖ℎ_𝑖  ℎ〗_1𝑖/𝑎′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336176</xdr:colOff>
      <xdr:row>126</xdr:row>
      <xdr:rowOff>11206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E7D92F95-6960-422F-A90F-CE41C2B61671}"/>
                </a:ext>
              </a:extLst>
            </xdr:cNvPr>
            <xdr:cNvSpPr txBox="1"/>
          </xdr:nvSpPr>
          <xdr:spPr>
            <a:xfrm>
              <a:off x="6465794" y="2460811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𝜂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E7D92F95-6960-422F-A90F-CE41C2B61671}"/>
                </a:ext>
              </a:extLst>
            </xdr:cNvPr>
            <xdr:cNvSpPr txBox="1"/>
          </xdr:nvSpPr>
          <xdr:spPr>
            <a:xfrm>
              <a:off x="6465794" y="2460811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𝜏_𝜂+𝜏_ℎ+𝜏_𝜃≤5𝐺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358588</xdr:colOff>
      <xdr:row>128</xdr:row>
      <xdr:rowOff>33617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647AD834-11DA-4538-9DDD-8E2D634B7B05}"/>
                </a:ext>
              </a:extLst>
            </xdr:cNvPr>
            <xdr:cNvSpPr txBox="1"/>
          </xdr:nvSpPr>
          <xdr:spPr>
            <a:xfrm>
              <a:off x="6488206" y="25045146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647AD834-11DA-4538-9DDD-8E2D634B7B05}"/>
                </a:ext>
              </a:extLst>
            </xdr:cNvPr>
            <xdr:cNvSpPr txBox="1"/>
          </xdr:nvSpPr>
          <xdr:spPr>
            <a:xfrm>
              <a:off x="6488206" y="25045146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𝜏_𝜂=1,5𝑁_𝑔/(𝑆_𝑖 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324970</xdr:colOff>
      <xdr:row>129</xdr:row>
      <xdr:rowOff>44824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EA666068-495A-4E1B-8200-EA99A0A99C38}"/>
                </a:ext>
              </a:extLst>
            </xdr:cNvPr>
            <xdr:cNvSpPr txBox="1"/>
          </xdr:nvSpPr>
          <xdr:spPr>
            <a:xfrm>
              <a:off x="6454588" y="2528047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EA666068-495A-4E1B-8200-EA99A0A99C38}"/>
                </a:ext>
              </a:extLst>
            </xdr:cNvPr>
            <xdr:cNvSpPr txBox="1"/>
          </xdr:nvSpPr>
          <xdr:spPr>
            <a:xfrm>
              <a:off x="6454588" y="2528047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ℎ=𝐻_𝑔/(𝑎𝑏)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324970</xdr:colOff>
      <xdr:row>130</xdr:row>
      <xdr:rowOff>67235</xdr:rowOff>
    </xdr:from>
    <xdr:ext cx="2276475" cy="1864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1C248725-8B49-493E-B538-95EB8C348AEA}"/>
                </a:ext>
              </a:extLst>
            </xdr:cNvPr>
            <xdr:cNvSpPr txBox="1"/>
          </xdr:nvSpPr>
          <xdr:spPr>
            <a:xfrm>
              <a:off x="6454588" y="25952823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𝐺</m:t>
                    </m:r>
                    <m:sSup>
                      <m:sSup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</m:d>
                    <m:func>
                      <m:func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</m:sub>
                        </m:sSub>
                      </m:e>
                    </m:func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1C248725-8B49-493E-B538-95EB8C348AEA}"/>
                </a:ext>
              </a:extLst>
            </xdr:cNvPr>
            <xdr:cNvSpPr txBox="1"/>
          </xdr:nvSpPr>
          <xdr:spPr>
            <a:xfrm>
              <a:off x="6454588" y="25952823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𝜏_𝜃=𝐺𝑎^2/(2ℎ_𝑖 ℎ)  tan⁡〖𝜃_𝑔 〗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403411</xdr:colOff>
      <xdr:row>138</xdr:row>
      <xdr:rowOff>11206</xdr:rowOff>
    </xdr:from>
    <xdr:ext cx="2276475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518BA31-9677-4761-B874-E6ADFE6A0FDF}"/>
                </a:ext>
              </a:extLst>
            </xdr:cNvPr>
            <xdr:cNvSpPr txBox="1"/>
          </xdr:nvSpPr>
          <xdr:spPr>
            <a:xfrm>
              <a:off x="6533029" y="2702858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𝜂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h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𝜃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≤5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𝐺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7518BA31-9677-4761-B874-E6ADFE6A0FDF}"/>
                </a:ext>
              </a:extLst>
            </xdr:cNvPr>
            <xdr:cNvSpPr txBox="1"/>
          </xdr:nvSpPr>
          <xdr:spPr>
            <a:xfrm>
              <a:off x="6533029" y="27028588"/>
              <a:ext cx="2276475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𝜏_𝜂+𝜏_ℎ+𝜏_𝜃≤5𝐺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437028</xdr:colOff>
      <xdr:row>139</xdr:row>
      <xdr:rowOff>179294</xdr:rowOff>
    </xdr:from>
    <xdr:ext cx="2276475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aixaDeTexto 35">
              <a:extLst>
                <a:ext uri="{FF2B5EF4-FFF2-40B4-BE49-F238E27FC236}">
                  <a16:creationId xmlns:a16="http://schemas.microsoft.com/office/drawing/2014/main" id="{BE1C9AB8-6E2E-406B-95AF-577AA32D8CCC}"/>
                </a:ext>
              </a:extLst>
            </xdr:cNvPr>
            <xdr:cNvSpPr txBox="1"/>
          </xdr:nvSpPr>
          <xdr:spPr>
            <a:xfrm>
              <a:off x="6566646" y="27420794"/>
              <a:ext cx="227647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𝜂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=1,5(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+1,5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)/(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6" name="CaixaDeTexto 35">
              <a:extLst>
                <a:ext uri="{FF2B5EF4-FFF2-40B4-BE49-F238E27FC236}">
                  <a16:creationId xmlns:a16="http://schemas.microsoft.com/office/drawing/2014/main" id="{BE1C9AB8-6E2E-406B-95AF-577AA32D8CCC}"/>
                </a:ext>
              </a:extLst>
            </xdr:cNvPr>
            <xdr:cNvSpPr txBox="1"/>
          </xdr:nvSpPr>
          <xdr:spPr>
            <a:xfrm>
              <a:off x="6566646" y="27420794"/>
              <a:ext cx="2276475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𝜏_𝜂=1,5(𝑁_𝑔+1,5𝑁_𝑞)/(𝑆_𝑖 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515470</xdr:colOff>
      <xdr:row>141</xdr:row>
      <xdr:rowOff>0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FB91EDE8-8F6C-408D-B636-ADA7D37840E9}"/>
                </a:ext>
              </a:extLst>
            </xdr:cNvPr>
            <xdr:cNvSpPr txBox="1"/>
          </xdr:nvSpPr>
          <xdr:spPr>
            <a:xfrm>
              <a:off x="6645088" y="27656118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=(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𝑔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+0,5</m:t>
                    </m:r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)/(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𝑎𝑏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7" name="CaixaDeTexto 36">
              <a:extLst>
                <a:ext uri="{FF2B5EF4-FFF2-40B4-BE49-F238E27FC236}">
                  <a16:creationId xmlns:a16="http://schemas.microsoft.com/office/drawing/2014/main" id="{FB91EDE8-8F6C-408D-B636-ADA7D37840E9}"/>
                </a:ext>
              </a:extLst>
            </xdr:cNvPr>
            <xdr:cNvSpPr txBox="1"/>
          </xdr:nvSpPr>
          <xdr:spPr>
            <a:xfrm>
              <a:off x="6645088" y="27656118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ℎ=(𝐻_𝑔+0,5𝐻_𝑞)/(𝑎𝑏)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392205</xdr:colOff>
      <xdr:row>142</xdr:row>
      <xdr:rowOff>33618</xdr:rowOff>
    </xdr:from>
    <xdr:ext cx="2276475" cy="1864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FCCF2F9-A5F6-477F-9A1B-5F7A2764F48D}"/>
                </a:ext>
              </a:extLst>
            </xdr:cNvPr>
            <xdr:cNvSpPr txBox="1"/>
          </xdr:nvSpPr>
          <xdr:spPr>
            <a:xfrm>
              <a:off x="6521823" y="28339677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𝜃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𝐺</m:t>
                    </m:r>
                    <m:sSup>
                      <m:sSup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</m:t>
                        </m:r>
                      </m:e>
                      <m: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func>
                      <m:func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t-BR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tan</m:t>
                        </m:r>
                      </m:fName>
                      <m:e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𝜃</m:t>
                            </m:r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𝑔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sub>
                        </m:sSub>
                      </m:e>
                    </m:func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FCCF2F9-A5F6-477F-9A1B-5F7A2764F48D}"/>
                </a:ext>
              </a:extLst>
            </xdr:cNvPr>
            <xdr:cNvSpPr txBox="1"/>
          </xdr:nvSpPr>
          <xdr:spPr>
            <a:xfrm>
              <a:off x="6521823" y="28339677"/>
              <a:ext cx="2276475" cy="1864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𝜏_𝜃=𝐺𝑎^2/(2ℎ ℎ_𝑖 )  tan⁡〖𝜃_(𝑔+𝑞) 〗</a:t>
              </a:r>
              <a:endParaRPr lang="pt-BR" sz="1100" b="0" kern="1200"/>
            </a:p>
          </xdr:txBody>
        </xdr:sp>
      </mc:Fallback>
    </mc:AlternateContent>
    <xdr:clientData/>
  </xdr:oneCellAnchor>
  <xdr:twoCellAnchor>
    <xdr:from>
      <xdr:col>12</xdr:col>
      <xdr:colOff>22411</xdr:colOff>
      <xdr:row>6</xdr:row>
      <xdr:rowOff>56030</xdr:rowOff>
    </xdr:from>
    <xdr:to>
      <xdr:col>14</xdr:col>
      <xdr:colOff>257734</xdr:colOff>
      <xdr:row>7</xdr:row>
      <xdr:rowOff>212912</xdr:rowOff>
    </xdr:to>
    <xdr:sp macro="[0]!VersionVerified" textlink="">
      <xdr:nvSpPr>
        <xdr:cNvPr id="34" name="Retângulo: Cantos Arredondados 33">
          <a:extLst>
            <a:ext uri="{FF2B5EF4-FFF2-40B4-BE49-F238E27FC236}">
              <a16:creationId xmlns:a16="http://schemas.microsoft.com/office/drawing/2014/main" id="{2937F191-E9E6-4A7C-A11B-61FDA1CD3D72}"/>
            </a:ext>
          </a:extLst>
        </xdr:cNvPr>
        <xdr:cNvSpPr/>
      </xdr:nvSpPr>
      <xdr:spPr>
        <a:xfrm>
          <a:off x="9267264" y="1277471"/>
          <a:ext cx="2151529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>
              <a:solidFill>
                <a:sysClr val="windowText" lastClr="000000"/>
              </a:solidFill>
            </a:rPr>
            <a:t>Verificar</a:t>
          </a:r>
          <a:r>
            <a:rPr lang="pt-BR" sz="1100" b="1" kern="1200" baseline="0">
              <a:solidFill>
                <a:sysClr val="windowText" lastClr="000000"/>
              </a:solidFill>
            </a:rPr>
            <a:t> Versão das Imagens </a:t>
          </a:r>
          <a:endParaRPr lang="pt-BR" sz="11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8</xdr:col>
      <xdr:colOff>428626</xdr:colOff>
      <xdr:row>103</xdr:row>
      <xdr:rowOff>139514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B85B279A-98B9-45FE-BA40-051927702EEE}"/>
                </a:ext>
              </a:extLst>
            </xdr:cNvPr>
            <xdr:cNvSpPr txBox="1"/>
          </xdr:nvSpPr>
          <xdr:spPr>
            <a:xfrm>
              <a:off x="6558244" y="2061266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B85B279A-98B9-45FE-BA40-051927702EEE}"/>
                </a:ext>
              </a:extLst>
            </xdr:cNvPr>
            <xdr:cNvSpPr txBox="1"/>
          </xdr:nvSpPr>
          <xdr:spPr>
            <a:xfrm>
              <a:off x="6558244" y="20612661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294154</xdr:colOff>
      <xdr:row>113</xdr:row>
      <xdr:rowOff>168088</xdr:rowOff>
    </xdr:from>
    <xdr:ext cx="2276475" cy="1833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8BB12C00-62C2-44AE-B4E1-6CFF91A0FF63}"/>
                </a:ext>
              </a:extLst>
            </xdr:cNvPr>
            <xdr:cNvSpPr txBox="1"/>
          </xdr:nvSpPr>
          <xdr:spPr>
            <a:xfrm>
              <a:off x="6423772" y="22613470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𝑔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/[</m:t>
                    </m:r>
                    <m:d>
                      <m:d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 kern="1200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 kern="1200">
                                <a:latin typeface="Cambria Math" panose="02040503050406030204" pitchFamily="18" charset="0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𝑏</m:t>
                    </m:r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8BB12C00-62C2-44AE-B4E1-6CFF91A0FF63}"/>
                </a:ext>
              </a:extLst>
            </xdr:cNvPr>
            <xdr:cNvSpPr txBox="1"/>
          </xdr:nvSpPr>
          <xdr:spPr>
            <a:xfrm>
              <a:off x="6423772" y="22613470"/>
              <a:ext cx="2276475" cy="1833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𝜎_𝑔=𝑁_𝑔/[(𝑎^′−〖𝑎^′〗_ℎ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  <xdr:oneCellAnchor>
    <xdr:from>
      <xdr:col>8</xdr:col>
      <xdr:colOff>313764</xdr:colOff>
      <xdr:row>115</xdr:row>
      <xdr:rowOff>0</xdr:rowOff>
    </xdr:from>
    <xdr:ext cx="2276475" cy="1994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E87969A-58EC-4440-9037-7D19417E974F}"/>
                </a:ext>
              </a:extLst>
            </xdr:cNvPr>
            <xdr:cNvSpPr txBox="1"/>
          </xdr:nvSpPr>
          <xdr:spPr>
            <a:xfrm>
              <a:off x="6443382" y="22860000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 kern="120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pt-BR" sz="1100" b="0" i="1" kern="1200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pt-BR" sz="1100" b="0" i="1" kern="1200">
                            <a:latin typeface="Cambria Math" panose="02040503050406030204" pitchFamily="18" charset="0"/>
                          </a:rPr>
                          <m:t>𝑞</m:t>
                        </m:r>
                      </m:sub>
                    </m:sSub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/[</m:t>
                    </m:r>
                    <m:d>
                      <m:dPr>
                        <m:ctrlP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′</m:t>
                            </m:r>
                          </m:sup>
                        </m:sSup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sSup>
                              <m:sSupPr>
                                <m:ctrlP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e>
                              <m:sup>
                                <m:r>
                                  <a:rPr lang="pt-B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sup>
                            </m:sSup>
                          </m:e>
                          <m:sub>
                            <m:r>
                              <a:rPr lang="pt-B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h</m:t>
                            </m:r>
                          </m:sub>
                        </m:sSub>
                      </m:e>
                    </m:d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𝑏</m:t>
                    </m:r>
                    <m:r>
                      <a:rPr lang="pt-B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′]</m:t>
                    </m:r>
                  </m:oMath>
                </m:oMathPara>
              </a14:m>
              <a:endParaRPr lang="pt-BR" sz="1100" b="0" kern="12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DE87969A-58EC-4440-9037-7D19417E974F}"/>
                </a:ext>
              </a:extLst>
            </xdr:cNvPr>
            <xdr:cNvSpPr txBox="1"/>
          </xdr:nvSpPr>
          <xdr:spPr>
            <a:xfrm>
              <a:off x="6443382" y="22860000"/>
              <a:ext cx="2276475" cy="1994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 kern="1200">
                  <a:latin typeface="Cambria Math" panose="02040503050406030204" pitchFamily="18" charset="0"/>
                </a:rPr>
                <a:t>𝜎_𝑞=𝑁_𝑞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/[(𝑎^′−〖𝑎^′〗_ℎ )𝑏′]</a:t>
              </a:r>
              <a:endParaRPr lang="pt-BR" sz="1100" b="0" kern="12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485775</xdr:colOff>
      <xdr:row>8</xdr:row>
      <xdr:rowOff>76200</xdr:rowOff>
    </xdr:from>
    <xdr:to>
      <xdr:col>18</xdr:col>
      <xdr:colOff>9525</xdr:colOff>
      <xdr:row>20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AE55915-BFCE-DD0F-3CDA-B68A7CF5A8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osniak Engenharia" id="{E8950FA6-615F-4290-8C72-A81CC725932E}" userId="3b59c5a9af63c483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74" dT="2025-01-20T20:50:24.88" personId="{E8950FA6-615F-4290-8C72-A81CC725932E}" id="{902F51FA-38D5-4BCD-BAF3-2B6A85BBF7CD}" done="1">
    <text xml:space="preserve">Conferir esse valor, está estranho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E148"/>
  <sheetViews>
    <sheetView showGridLines="0" tabSelected="1" topLeftCell="D1" zoomScale="85" zoomScaleNormal="85" workbookViewId="0">
      <selection activeCell="B43" sqref="B43"/>
    </sheetView>
  </sheetViews>
  <sheetFormatPr defaultRowHeight="15" x14ac:dyDescent="0.25"/>
  <cols>
    <col min="1" max="1" width="6" customWidth="1"/>
    <col min="2" max="2" width="12.28515625" customWidth="1"/>
    <col min="3" max="3" width="8.7109375" bestFit="1" customWidth="1"/>
    <col min="4" max="4" width="28.5703125" customWidth="1"/>
    <col min="9" max="9" width="9.140625" customWidth="1"/>
    <col min="11" max="11" width="19.5703125" customWidth="1"/>
    <col min="13" max="13" width="17.85546875" customWidth="1"/>
    <col min="14" max="14" width="10.85546875" customWidth="1"/>
    <col min="17" max="17" width="17.5703125" customWidth="1"/>
    <col min="21" max="21" width="14.5703125" customWidth="1"/>
  </cols>
  <sheetData>
    <row r="1" spans="1:30" ht="15.75" x14ac:dyDescent="0.25">
      <c r="A1" s="117" t="s">
        <v>13</v>
      </c>
      <c r="B1" s="118"/>
      <c r="M1" s="111" t="s">
        <v>0</v>
      </c>
      <c r="N1" s="112"/>
      <c r="O1" s="112"/>
      <c r="P1" s="112"/>
      <c r="Q1" s="113"/>
      <c r="U1" s="126" t="s">
        <v>1</v>
      </c>
      <c r="V1" s="126"/>
      <c r="W1" s="126"/>
      <c r="AC1" s="106" t="s">
        <v>2</v>
      </c>
      <c r="AD1" s="107"/>
    </row>
    <row r="2" spans="1:30" x14ac:dyDescent="0.25">
      <c r="A2" s="124" t="s">
        <v>15</v>
      </c>
      <c r="B2" s="125"/>
      <c r="C2" s="28"/>
      <c r="D2" s="35" t="s">
        <v>16</v>
      </c>
      <c r="E2" s="28"/>
      <c r="F2" s="28"/>
      <c r="G2" s="28"/>
      <c r="H2" s="28"/>
      <c r="I2" s="28"/>
      <c r="J2" s="28"/>
      <c r="K2" s="36"/>
      <c r="M2" s="9" t="s">
        <v>127</v>
      </c>
      <c r="N2" s="10"/>
      <c r="O2" s="10"/>
      <c r="P2" s="10"/>
      <c r="Q2" s="11"/>
      <c r="U2" s="23"/>
      <c r="V2" t="s">
        <v>3</v>
      </c>
      <c r="AC2" s="37"/>
      <c r="AD2" s="38" t="s">
        <v>4</v>
      </c>
    </row>
    <row r="3" spans="1:30" x14ac:dyDescent="0.25">
      <c r="A3" s="3"/>
      <c r="B3" s="47"/>
      <c r="C3" s="4"/>
      <c r="D3" s="4"/>
      <c r="E3" s="4"/>
      <c r="F3" s="4"/>
      <c r="G3" s="4"/>
      <c r="H3" s="4"/>
      <c r="I3" s="4"/>
      <c r="J3" s="4"/>
      <c r="K3" s="5"/>
      <c r="M3" s="12" t="s">
        <v>128</v>
      </c>
      <c r="N3" s="13"/>
      <c r="O3" s="13"/>
      <c r="P3" s="13"/>
      <c r="Q3" s="14"/>
      <c r="U3" s="39"/>
      <c r="V3" t="s">
        <v>5</v>
      </c>
      <c r="AC3" s="40"/>
      <c r="AD3" s="38" t="s">
        <v>6</v>
      </c>
    </row>
    <row r="4" spans="1:30" x14ac:dyDescent="0.25">
      <c r="A4" s="18" t="s">
        <v>19</v>
      </c>
      <c r="B4" s="19">
        <v>200000</v>
      </c>
      <c r="C4" s="17" t="s">
        <v>20</v>
      </c>
      <c r="D4" s="20"/>
      <c r="E4" s="21" t="s">
        <v>21</v>
      </c>
      <c r="F4" s="21"/>
      <c r="K4" s="8"/>
      <c r="M4" s="6" t="s">
        <v>210</v>
      </c>
      <c r="Q4" s="8"/>
      <c r="U4" s="41"/>
      <c r="V4" t="s">
        <v>7</v>
      </c>
      <c r="AC4" s="42"/>
      <c r="AD4" s="38" t="s">
        <v>8</v>
      </c>
    </row>
    <row r="5" spans="1:30" ht="18" x14ac:dyDescent="0.35">
      <c r="A5" s="18" t="s">
        <v>23</v>
      </c>
      <c r="B5" s="19">
        <v>1.1000000000000001</v>
      </c>
      <c r="C5" s="17" t="s">
        <v>24</v>
      </c>
      <c r="D5" s="20"/>
      <c r="E5" s="21" t="s">
        <v>42</v>
      </c>
      <c r="F5" s="21"/>
      <c r="K5" s="8"/>
      <c r="M5" s="15"/>
      <c r="N5" s="7"/>
      <c r="O5" s="7"/>
      <c r="P5" s="7"/>
      <c r="Q5" s="16"/>
      <c r="U5" s="43"/>
      <c r="V5" t="s">
        <v>9</v>
      </c>
      <c r="AC5" s="44"/>
      <c r="AD5" s="38" t="s">
        <v>10</v>
      </c>
    </row>
    <row r="6" spans="1:30" ht="18" x14ac:dyDescent="0.35">
      <c r="A6" s="22" t="s">
        <v>25</v>
      </c>
      <c r="B6" s="19">
        <v>1.35</v>
      </c>
      <c r="C6" s="17" t="s">
        <v>24</v>
      </c>
      <c r="D6" s="20"/>
      <c r="E6" s="21" t="s">
        <v>26</v>
      </c>
      <c r="F6" s="21"/>
      <c r="K6" s="8"/>
      <c r="U6" s="2"/>
      <c r="V6" t="s">
        <v>11</v>
      </c>
      <c r="AC6" s="45"/>
      <c r="AD6" s="38" t="s">
        <v>12</v>
      </c>
    </row>
    <row r="7" spans="1:30" ht="18" x14ac:dyDescent="0.35">
      <c r="A7" s="22" t="s">
        <v>120</v>
      </c>
      <c r="B7" s="24">
        <v>4</v>
      </c>
      <c r="C7" s="17" t="s">
        <v>24</v>
      </c>
      <c r="D7" s="17" t="s">
        <v>206</v>
      </c>
      <c r="E7" s="21"/>
      <c r="F7" s="21"/>
      <c r="K7" s="8"/>
      <c r="AC7" s="46"/>
      <c r="AD7" s="38" t="s">
        <v>14</v>
      </c>
    </row>
    <row r="8" spans="1:30" ht="18" x14ac:dyDescent="0.35">
      <c r="A8" s="22" t="s">
        <v>121</v>
      </c>
      <c r="B8" s="24">
        <v>3</v>
      </c>
      <c r="C8" s="17" t="s">
        <v>24</v>
      </c>
      <c r="D8" s="17" t="s">
        <v>206</v>
      </c>
      <c r="E8" s="21"/>
      <c r="F8" s="21"/>
      <c r="K8" s="8"/>
      <c r="U8" s="108"/>
      <c r="V8" s="109"/>
      <c r="W8" s="109"/>
      <c r="X8" s="109"/>
      <c r="Y8" s="110"/>
    </row>
    <row r="9" spans="1:30" ht="18" x14ac:dyDescent="0.35">
      <c r="A9" s="18" t="s">
        <v>27</v>
      </c>
      <c r="B9" s="24">
        <v>345</v>
      </c>
      <c r="C9" s="17" t="s">
        <v>20</v>
      </c>
      <c r="D9" s="21"/>
      <c r="E9" s="21" t="s">
        <v>28</v>
      </c>
      <c r="F9" s="21"/>
      <c r="K9" s="8"/>
    </row>
    <row r="10" spans="1:30" x14ac:dyDescent="0.25">
      <c r="A10" s="15"/>
      <c r="B10" s="7"/>
      <c r="C10" s="7"/>
      <c r="D10" s="25"/>
      <c r="E10" s="25"/>
      <c r="F10" s="25"/>
      <c r="G10" s="7"/>
      <c r="H10" s="7"/>
      <c r="I10" s="7"/>
      <c r="J10" s="7"/>
      <c r="K10" s="16"/>
    </row>
    <row r="11" spans="1:30" x14ac:dyDescent="0.25">
      <c r="A11" s="55" t="s">
        <v>34</v>
      </c>
      <c r="B11" s="26"/>
      <c r="C11" s="52"/>
      <c r="D11" s="53"/>
      <c r="E11" s="52"/>
      <c r="F11" s="52"/>
      <c r="G11" s="52"/>
      <c r="H11" s="52"/>
      <c r="I11" s="52"/>
      <c r="J11" s="52"/>
      <c r="K11" s="54"/>
      <c r="M11" s="114" t="s">
        <v>17</v>
      </c>
      <c r="N11" s="115"/>
      <c r="O11" s="115"/>
      <c r="P11" s="115"/>
      <c r="Q11" s="116"/>
    </row>
    <row r="12" spans="1:30" x14ac:dyDescent="0.25">
      <c r="D12" s="21"/>
      <c r="E12" s="21"/>
      <c r="F12" s="21"/>
      <c r="K12" s="8"/>
      <c r="M12" s="32" t="s">
        <v>18</v>
      </c>
      <c r="N12" s="30">
        <f>F70</f>
        <v>0.23333333333333334</v>
      </c>
      <c r="O12" s="50" t="s">
        <v>64</v>
      </c>
      <c r="P12" s="50"/>
      <c r="Q12" s="51"/>
    </row>
    <row r="13" spans="1:30" ht="18" x14ac:dyDescent="0.35">
      <c r="A13" s="56" t="s">
        <v>82</v>
      </c>
      <c r="B13" s="19">
        <v>600</v>
      </c>
      <c r="C13" s="17" t="s">
        <v>35</v>
      </c>
      <c r="E13" s="21" t="s">
        <v>84</v>
      </c>
      <c r="K13" s="8"/>
      <c r="M13" s="32" t="s">
        <v>49</v>
      </c>
      <c r="N13" s="30">
        <f>F79</f>
        <v>0.59269162210338688</v>
      </c>
      <c r="O13" s="50" t="s">
        <v>201</v>
      </c>
      <c r="P13" s="50"/>
      <c r="Q13" s="51"/>
    </row>
    <row r="14" spans="1:30" ht="18" x14ac:dyDescent="0.35">
      <c r="A14" s="56" t="s">
        <v>83</v>
      </c>
      <c r="B14" s="19">
        <v>100</v>
      </c>
      <c r="C14" s="17" t="s">
        <v>35</v>
      </c>
      <c r="E14" s="21" t="s">
        <v>85</v>
      </c>
      <c r="K14" s="8"/>
      <c r="M14" s="32" t="s">
        <v>22</v>
      </c>
      <c r="N14" s="30">
        <f>F88</f>
        <v>0.64496351782830919</v>
      </c>
      <c r="O14" t="s">
        <v>124</v>
      </c>
      <c r="P14" s="50"/>
      <c r="Q14" s="51"/>
    </row>
    <row r="15" spans="1:30" ht="18" x14ac:dyDescent="0.35">
      <c r="A15" s="56" t="s">
        <v>62</v>
      </c>
      <c r="B15" s="24">
        <f>SUM(B13:B14)</f>
        <v>700</v>
      </c>
      <c r="C15" s="17" t="s">
        <v>35</v>
      </c>
      <c r="D15" s="20"/>
      <c r="E15" s="21" t="s">
        <v>63</v>
      </c>
      <c r="F15" s="21"/>
      <c r="K15" s="8"/>
      <c r="M15" s="32" t="s">
        <v>50</v>
      </c>
      <c r="N15" s="30">
        <f>F100</f>
        <v>0.36085595637391749</v>
      </c>
      <c r="O15" s="50" t="s">
        <v>123</v>
      </c>
      <c r="P15" s="50"/>
      <c r="Q15" s="51"/>
    </row>
    <row r="16" spans="1:30" ht="18" x14ac:dyDescent="0.35">
      <c r="A16" s="56" t="s">
        <v>88</v>
      </c>
      <c r="B16" s="24">
        <f>2*B46*1/10</f>
        <v>390</v>
      </c>
      <c r="C16" s="17" t="s">
        <v>35</v>
      </c>
      <c r="D16" s="17" t="s">
        <v>77</v>
      </c>
      <c r="E16" s="21" t="s">
        <v>89</v>
      </c>
      <c r="F16" s="21"/>
      <c r="K16" s="8"/>
      <c r="M16" s="32" t="s">
        <v>51</v>
      </c>
      <c r="N16" s="30">
        <f>F111</f>
        <v>0.42776076520334655</v>
      </c>
      <c r="O16" s="50" t="s">
        <v>190</v>
      </c>
      <c r="P16" s="50"/>
      <c r="Q16" s="51"/>
    </row>
    <row r="17" spans="1:17" x14ac:dyDescent="0.25">
      <c r="A17" s="56"/>
      <c r="B17" s="103" t="str">
        <f>IF(B16&lt;=B13,"Verificado","Esforço inferior ao mínimo")</f>
        <v>Verificado</v>
      </c>
      <c r="C17" s="104"/>
      <c r="D17" s="17" t="s">
        <v>77</v>
      </c>
      <c r="E17" s="21" t="s">
        <v>106</v>
      </c>
      <c r="F17" s="21"/>
      <c r="K17" s="8"/>
      <c r="M17" s="32" t="s">
        <v>149</v>
      </c>
      <c r="N17" s="30">
        <f>F122</f>
        <v>0.49616433981354752</v>
      </c>
      <c r="O17" s="50" t="s">
        <v>190</v>
      </c>
      <c r="P17" s="50"/>
      <c r="Q17" s="51"/>
    </row>
    <row r="18" spans="1:17" x14ac:dyDescent="0.25">
      <c r="A18" s="56"/>
      <c r="C18" s="17"/>
      <c r="D18" s="20"/>
      <c r="E18" s="21"/>
      <c r="F18" s="21"/>
      <c r="K18" s="8"/>
      <c r="M18" s="32" t="s">
        <v>189</v>
      </c>
      <c r="N18" s="30">
        <f>F135</f>
        <v>0.4551519188384292</v>
      </c>
      <c r="O18" s="95" t="s">
        <v>148</v>
      </c>
      <c r="P18" s="50"/>
      <c r="Q18" s="51"/>
    </row>
    <row r="19" spans="1:17" ht="18" x14ac:dyDescent="0.35">
      <c r="A19" s="56" t="s">
        <v>101</v>
      </c>
      <c r="B19" s="19">
        <v>75</v>
      </c>
      <c r="C19" s="17" t="s">
        <v>35</v>
      </c>
      <c r="E19" s="21" t="s">
        <v>84</v>
      </c>
      <c r="K19" s="8"/>
      <c r="M19" s="32" t="s">
        <v>191</v>
      </c>
      <c r="N19" s="30">
        <f>F147</f>
        <v>0.53659361717475118</v>
      </c>
      <c r="O19" s="50" t="s">
        <v>150</v>
      </c>
      <c r="P19" s="50"/>
      <c r="Q19" s="51"/>
    </row>
    <row r="20" spans="1:17" ht="18" x14ac:dyDescent="0.35">
      <c r="A20" s="56" t="s">
        <v>102</v>
      </c>
      <c r="B20" s="19">
        <v>20</v>
      </c>
      <c r="C20" s="17" t="s">
        <v>35</v>
      </c>
      <c r="E20" s="21" t="s">
        <v>85</v>
      </c>
      <c r="K20" s="8"/>
    </row>
    <row r="21" spans="1:17" x14ac:dyDescent="0.25">
      <c r="E21" s="21"/>
      <c r="F21" s="21"/>
      <c r="K21" s="8"/>
      <c r="M21" s="119" t="s">
        <v>67</v>
      </c>
      <c r="N21" s="120"/>
      <c r="O21" s="120"/>
      <c r="P21" s="121"/>
    </row>
    <row r="22" spans="1:17" x14ac:dyDescent="0.25">
      <c r="A22" s="55" t="s">
        <v>33</v>
      </c>
      <c r="B22" s="26"/>
      <c r="C22" s="52"/>
      <c r="D22" s="53" t="s">
        <v>133</v>
      </c>
      <c r="E22" s="52"/>
      <c r="F22" s="52"/>
      <c r="G22" s="52"/>
      <c r="H22" s="52"/>
      <c r="I22" s="52"/>
      <c r="J22" s="52"/>
      <c r="K22" s="54"/>
      <c r="M22" s="2" t="s">
        <v>211</v>
      </c>
      <c r="N22" s="19" t="s">
        <v>199</v>
      </c>
      <c r="O22" s="122"/>
      <c r="P22" s="123"/>
    </row>
    <row r="23" spans="1:17" x14ac:dyDescent="0.25">
      <c r="A23" s="3"/>
      <c r="B23" s="96"/>
      <c r="C23" s="4"/>
      <c r="D23" s="97"/>
      <c r="E23" s="97"/>
      <c r="F23" s="97"/>
      <c r="G23" s="4"/>
      <c r="H23" s="4"/>
      <c r="I23" s="4"/>
      <c r="J23" s="4"/>
      <c r="K23" s="5"/>
      <c r="M23" s="2" t="s">
        <v>108</v>
      </c>
      <c r="N23" s="19" t="s">
        <v>199</v>
      </c>
      <c r="O23" s="122"/>
      <c r="P23" s="123"/>
    </row>
    <row r="24" spans="1:17" x14ac:dyDescent="0.25">
      <c r="A24" s="18" t="s">
        <v>167</v>
      </c>
      <c r="B24" s="34">
        <f>VLOOKUP(D22,M33:O36,2,FALSE)</f>
        <v>50</v>
      </c>
      <c r="C24" s="20" t="s">
        <v>20</v>
      </c>
      <c r="D24" s="17" t="s">
        <v>130</v>
      </c>
      <c r="E24" s="21" t="s">
        <v>168</v>
      </c>
      <c r="F24" s="21"/>
      <c r="K24" s="8"/>
      <c r="M24" s="2" t="s">
        <v>70</v>
      </c>
      <c r="N24" s="19" t="s">
        <v>71</v>
      </c>
      <c r="O24" s="122"/>
      <c r="P24" s="123"/>
      <c r="Q24" s="31" t="s">
        <v>71</v>
      </c>
    </row>
    <row r="25" spans="1:17" x14ac:dyDescent="0.25">
      <c r="A25" s="18" t="s">
        <v>99</v>
      </c>
      <c r="B25" s="34">
        <f>VLOOKUP(D22,M34:O36,3,FALSE)</f>
        <v>0.8</v>
      </c>
      <c r="C25" s="20" t="s">
        <v>20</v>
      </c>
      <c r="D25" s="17" t="s">
        <v>130</v>
      </c>
      <c r="E25" s="21" t="s">
        <v>129</v>
      </c>
      <c r="F25" s="21"/>
      <c r="K25" s="8"/>
      <c r="M25" s="2" t="s">
        <v>68</v>
      </c>
      <c r="N25" s="19"/>
      <c r="O25" s="2" t="s">
        <v>69</v>
      </c>
      <c r="P25" s="2"/>
      <c r="Q25" s="31" t="s">
        <v>72</v>
      </c>
    </row>
    <row r="26" spans="1:17" x14ac:dyDescent="0.25">
      <c r="A26" s="18" t="s">
        <v>170</v>
      </c>
      <c r="B26" s="82">
        <v>0.01</v>
      </c>
      <c r="C26" s="17" t="s">
        <v>43</v>
      </c>
      <c r="D26" s="21"/>
      <c r="E26" s="21" t="s">
        <v>171</v>
      </c>
      <c r="F26" s="21"/>
      <c r="K26" s="8"/>
      <c r="M26" s="2" t="s">
        <v>200</v>
      </c>
      <c r="N26" s="101">
        <v>3</v>
      </c>
      <c r="O26" s="100"/>
      <c r="P26" s="51"/>
    </row>
    <row r="27" spans="1:17" x14ac:dyDescent="0.25">
      <c r="A27" s="15"/>
      <c r="B27" s="98"/>
      <c r="C27" s="7"/>
      <c r="D27" s="7"/>
      <c r="E27" s="7"/>
      <c r="F27" s="7"/>
      <c r="G27" s="7"/>
      <c r="H27" s="7"/>
      <c r="I27" s="7"/>
      <c r="J27" s="7"/>
      <c r="K27" s="16"/>
      <c r="M27" s="137" t="s">
        <v>136</v>
      </c>
      <c r="N27" s="138"/>
      <c r="P27" s="8"/>
    </row>
    <row r="28" spans="1:17" x14ac:dyDescent="0.25">
      <c r="A28" s="57" t="s">
        <v>47</v>
      </c>
      <c r="B28" s="58"/>
      <c r="C28" s="58"/>
      <c r="D28" s="35" t="s">
        <v>60</v>
      </c>
      <c r="E28" s="59"/>
      <c r="F28" s="28"/>
      <c r="G28" s="28"/>
      <c r="H28" s="28"/>
      <c r="I28" s="28"/>
      <c r="J28" s="28"/>
      <c r="K28" s="36"/>
      <c r="M28" s="139"/>
      <c r="N28" s="140"/>
      <c r="O28" s="7"/>
      <c r="P28" s="16"/>
    </row>
    <row r="29" spans="1:17" x14ac:dyDescent="0.25">
      <c r="A29" s="73" t="s">
        <v>159</v>
      </c>
      <c r="B29" s="74"/>
      <c r="C29" s="74"/>
      <c r="D29" s="75"/>
      <c r="E29" s="76"/>
      <c r="F29" s="77"/>
      <c r="G29" s="77"/>
      <c r="H29" s="77"/>
      <c r="I29" s="77"/>
      <c r="J29" s="77"/>
      <c r="K29" s="78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5"/>
    </row>
    <row r="31" spans="1:17" x14ac:dyDescent="0.25">
      <c r="A31" s="33" t="s">
        <v>36</v>
      </c>
      <c r="B31" s="19">
        <v>400</v>
      </c>
      <c r="C31" s="17" t="s">
        <v>39</v>
      </c>
      <c r="E31" t="s">
        <v>48</v>
      </c>
      <c r="K31" s="8"/>
    </row>
    <row r="32" spans="1:17" ht="15" customHeight="1" x14ac:dyDescent="0.25">
      <c r="A32" s="33" t="s">
        <v>37</v>
      </c>
      <c r="B32" s="19">
        <v>500</v>
      </c>
      <c r="C32" s="17" t="s">
        <v>39</v>
      </c>
      <c r="E32" t="s">
        <v>44</v>
      </c>
      <c r="K32" s="8"/>
    </row>
    <row r="33" spans="1:15" ht="18" x14ac:dyDescent="0.35">
      <c r="A33" s="33" t="s">
        <v>79</v>
      </c>
      <c r="B33" s="19">
        <v>10</v>
      </c>
      <c r="C33" s="17" t="s">
        <v>39</v>
      </c>
      <c r="E33" t="s">
        <v>80</v>
      </c>
      <c r="K33" s="8"/>
      <c r="M33" s="66" t="s">
        <v>131</v>
      </c>
      <c r="N33" s="66" t="s">
        <v>169</v>
      </c>
      <c r="O33" s="66" t="s">
        <v>132</v>
      </c>
    </row>
    <row r="34" spans="1:15" x14ac:dyDescent="0.25">
      <c r="A34" s="33" t="s">
        <v>46</v>
      </c>
      <c r="B34" s="19">
        <v>4</v>
      </c>
      <c r="C34" s="17" t="s">
        <v>39</v>
      </c>
      <c r="E34" t="s">
        <v>185</v>
      </c>
      <c r="K34" s="8"/>
      <c r="M34" s="1" t="s">
        <v>133</v>
      </c>
      <c r="N34" s="1">
        <v>50</v>
      </c>
      <c r="O34" s="1">
        <v>0.8</v>
      </c>
    </row>
    <row r="35" spans="1:15" x14ac:dyDescent="0.25">
      <c r="A35" s="33" t="s">
        <v>45</v>
      </c>
      <c r="B35" s="19">
        <v>2.5</v>
      </c>
      <c r="C35" s="17" t="s">
        <v>39</v>
      </c>
      <c r="E35" t="s">
        <v>186</v>
      </c>
      <c r="K35" s="8"/>
      <c r="M35" s="1" t="s">
        <v>134</v>
      </c>
      <c r="N35" s="1">
        <v>60</v>
      </c>
      <c r="O35" s="1">
        <v>1</v>
      </c>
    </row>
    <row r="36" spans="1:15" x14ac:dyDescent="0.25">
      <c r="A36" s="33" t="s">
        <v>98</v>
      </c>
      <c r="B36" s="34">
        <f>2*B35+(B43-1)*B45+B44*B43</f>
        <v>41</v>
      </c>
      <c r="C36" s="17" t="s">
        <v>39</v>
      </c>
      <c r="D36" s="48"/>
      <c r="E36" t="s">
        <v>157</v>
      </c>
      <c r="K36" s="8"/>
      <c r="M36" s="1" t="s">
        <v>135</v>
      </c>
      <c r="N36" s="1">
        <v>70</v>
      </c>
      <c r="O36" s="1">
        <v>1.2</v>
      </c>
    </row>
    <row r="37" spans="1:15" x14ac:dyDescent="0.25">
      <c r="A37" s="79"/>
      <c r="C37" s="17"/>
      <c r="K37" s="8"/>
      <c r="M37" s="127" t="s">
        <v>130</v>
      </c>
      <c r="N37" s="128"/>
      <c r="O37" s="129"/>
    </row>
    <row r="38" spans="1:15" x14ac:dyDescent="0.25">
      <c r="A38" s="73" t="s">
        <v>158</v>
      </c>
      <c r="B38" s="74"/>
      <c r="C38" s="74"/>
      <c r="D38" s="75"/>
      <c r="E38" s="76"/>
      <c r="F38" s="77"/>
      <c r="G38" s="77"/>
      <c r="H38" s="77"/>
      <c r="I38" s="77"/>
      <c r="J38" s="77"/>
      <c r="K38" s="78"/>
      <c r="M38" s="133"/>
      <c r="N38" s="134"/>
      <c r="O38" s="135"/>
    </row>
    <row r="39" spans="1:15" x14ac:dyDescent="0.25">
      <c r="A39" s="3"/>
      <c r="B39" s="4"/>
      <c r="C39" s="4"/>
      <c r="D39" s="4"/>
      <c r="E39" s="4"/>
      <c r="F39" s="4"/>
      <c r="G39" s="4"/>
      <c r="H39" s="4"/>
      <c r="I39" s="4"/>
      <c r="J39" s="4"/>
      <c r="K39" s="5"/>
    </row>
    <row r="40" spans="1:15" x14ac:dyDescent="0.25">
      <c r="A40" s="33" t="s">
        <v>162</v>
      </c>
      <c r="B40" s="34">
        <f>B31-2*B34</f>
        <v>392</v>
      </c>
      <c r="C40" s="17" t="s">
        <v>39</v>
      </c>
      <c r="E40" t="s">
        <v>164</v>
      </c>
      <c r="K40" s="8"/>
    </row>
    <row r="41" spans="1:15" x14ac:dyDescent="0.25">
      <c r="A41" s="33" t="s">
        <v>163</v>
      </c>
      <c r="B41" s="34">
        <f>B32-2*B34</f>
        <v>492</v>
      </c>
      <c r="C41" s="17" t="s">
        <v>39</v>
      </c>
      <c r="E41" t="s">
        <v>165</v>
      </c>
      <c r="K41" s="8"/>
    </row>
    <row r="42" spans="1:15" ht="18" x14ac:dyDescent="0.35">
      <c r="A42" s="33" t="s">
        <v>207</v>
      </c>
      <c r="B42" s="34">
        <f>B40*B33/B31</f>
        <v>9.8000000000000007</v>
      </c>
      <c r="C42" s="17" t="s">
        <v>39</v>
      </c>
      <c r="E42" t="s">
        <v>80</v>
      </c>
      <c r="K42" s="8"/>
    </row>
    <row r="43" spans="1:15" x14ac:dyDescent="0.25">
      <c r="A43" s="33" t="s">
        <v>38</v>
      </c>
      <c r="B43" s="19">
        <v>3</v>
      </c>
      <c r="C43" s="17" t="s">
        <v>100</v>
      </c>
      <c r="E43" t="s">
        <v>187</v>
      </c>
      <c r="K43" s="8"/>
    </row>
    <row r="44" spans="1:15" x14ac:dyDescent="0.25">
      <c r="A44" s="33" t="s">
        <v>161</v>
      </c>
      <c r="B44" s="19">
        <v>4</v>
      </c>
      <c r="C44" s="17" t="s">
        <v>39</v>
      </c>
      <c r="E44" t="s">
        <v>41</v>
      </c>
      <c r="K44" s="8"/>
      <c r="M44" s="122" t="s">
        <v>91</v>
      </c>
      <c r="N44" s="123"/>
    </row>
    <row r="45" spans="1:15" x14ac:dyDescent="0.25">
      <c r="A45" s="33" t="s">
        <v>160</v>
      </c>
      <c r="B45" s="19">
        <v>12</v>
      </c>
      <c r="C45" s="17" t="s">
        <v>39</v>
      </c>
      <c r="D45" s="48"/>
      <c r="E45" t="s">
        <v>40</v>
      </c>
      <c r="K45" s="8"/>
      <c r="M45" s="66" t="s">
        <v>58</v>
      </c>
      <c r="N45" s="66" t="s">
        <v>57</v>
      </c>
    </row>
    <row r="46" spans="1:15" x14ac:dyDescent="0.25">
      <c r="A46" s="33" t="s">
        <v>92</v>
      </c>
      <c r="B46" s="34">
        <f>VLOOKUP(D28,M46:N47,2,FALSE)</f>
        <v>1950</v>
      </c>
      <c r="C46" s="17" t="s">
        <v>94</v>
      </c>
      <c r="D46" s="48"/>
      <c r="E46" t="s">
        <v>81</v>
      </c>
      <c r="K46" s="8"/>
      <c r="M46" s="1" t="s">
        <v>60</v>
      </c>
      <c r="N46" s="1">
        <f>(B31-B33)*B32/100</f>
        <v>1950</v>
      </c>
    </row>
    <row r="47" spans="1:15" x14ac:dyDescent="0.25">
      <c r="A47" s="15"/>
      <c r="B47" s="7"/>
      <c r="C47" s="7"/>
      <c r="D47" s="7"/>
      <c r="E47" s="7"/>
      <c r="F47" s="7"/>
      <c r="G47" s="7"/>
      <c r="H47" s="7"/>
      <c r="I47" s="7"/>
      <c r="J47" s="7"/>
      <c r="K47" s="16"/>
      <c r="M47" s="1" t="s">
        <v>59</v>
      </c>
      <c r="N47" s="1">
        <f>B16/(1+B31/B32)/10</f>
        <v>21.666666666666664</v>
      </c>
      <c r="O47" t="s">
        <v>90</v>
      </c>
    </row>
    <row r="52" spans="1:16" x14ac:dyDescent="0.25">
      <c r="K52" s="102"/>
      <c r="L52" s="102"/>
      <c r="M52" s="102"/>
    </row>
    <row r="53" spans="1:16" x14ac:dyDescent="0.25">
      <c r="K53" s="102"/>
      <c r="L53" s="102"/>
      <c r="M53" s="102"/>
    </row>
    <row r="54" spans="1:16" x14ac:dyDescent="0.25">
      <c r="K54" s="102"/>
      <c r="L54" s="102"/>
      <c r="M54" s="102"/>
    </row>
    <row r="55" spans="1:16" x14ac:dyDescent="0.25">
      <c r="J55" s="102"/>
      <c r="K55" s="102"/>
      <c r="L55" s="102"/>
      <c r="M55" s="102"/>
      <c r="N55" s="102"/>
      <c r="O55" s="102"/>
      <c r="P55" s="102"/>
    </row>
    <row r="56" spans="1:16" x14ac:dyDescent="0.25">
      <c r="J56" s="102"/>
      <c r="K56" s="102"/>
      <c r="L56" s="102"/>
      <c r="M56" s="102"/>
      <c r="N56" s="102"/>
      <c r="O56" s="102"/>
      <c r="P56" s="102"/>
    </row>
    <row r="57" spans="1:16" x14ac:dyDescent="0.25">
      <c r="K57" s="102"/>
      <c r="L57" s="102"/>
      <c r="M57" s="102"/>
    </row>
    <row r="58" spans="1:16" x14ac:dyDescent="0.25">
      <c r="K58" s="102"/>
      <c r="L58" s="102"/>
      <c r="M58" s="102"/>
    </row>
    <row r="59" spans="1:16" x14ac:dyDescent="0.25">
      <c r="K59" s="102"/>
      <c r="L59" s="102"/>
      <c r="M59" s="102"/>
    </row>
    <row r="60" spans="1:16" x14ac:dyDescent="0.25">
      <c r="M60" s="17"/>
      <c r="N60" s="17"/>
    </row>
    <row r="61" spans="1:16" x14ac:dyDescent="0.25">
      <c r="M61" s="17"/>
      <c r="N61" s="17"/>
    </row>
    <row r="62" spans="1:16" x14ac:dyDescent="0.25">
      <c r="M62" s="17"/>
      <c r="N62" s="17"/>
    </row>
    <row r="64" spans="1:16" x14ac:dyDescent="0.25">
      <c r="A64" s="117" t="s">
        <v>29</v>
      </c>
      <c r="B64" s="118"/>
    </row>
    <row r="65" spans="1:31" ht="14.25" customHeight="1" x14ac:dyDescent="0.25">
      <c r="A65" s="60" t="s">
        <v>65</v>
      </c>
      <c r="B65" s="27"/>
      <c r="C65" s="27"/>
      <c r="D65" s="53"/>
      <c r="E65" s="61"/>
      <c r="F65" s="52"/>
      <c r="G65" s="52"/>
      <c r="H65" s="52"/>
      <c r="I65" s="54"/>
      <c r="J65" s="52"/>
      <c r="K65" s="54"/>
      <c r="M65" s="136" t="s">
        <v>56</v>
      </c>
      <c r="N65" s="136"/>
      <c r="O65" s="136"/>
    </row>
    <row r="66" spans="1:31" x14ac:dyDescent="0.25">
      <c r="A66" s="3"/>
      <c r="B66" s="4"/>
      <c r="C66" s="4"/>
      <c r="D66" s="4"/>
      <c r="E66" s="4"/>
      <c r="F66" s="4"/>
      <c r="G66" s="4"/>
      <c r="H66" s="4"/>
      <c r="I66" s="5"/>
      <c r="J66" s="4"/>
      <c r="K66" s="5"/>
      <c r="M66" s="63" t="s">
        <v>58</v>
      </c>
      <c r="N66" s="63" t="s">
        <v>61</v>
      </c>
      <c r="O66" s="63" t="s">
        <v>57</v>
      </c>
    </row>
    <row r="67" spans="1:31" ht="18" x14ac:dyDescent="0.35">
      <c r="A67" s="18" t="s">
        <v>109</v>
      </c>
      <c r="B67" s="34">
        <f>IF(D28=M67,O67,IF(B31&lt;=N68,O68,IF(B31&lt;=N69,O69,IF(B31&lt;=N70,O70,O71))))</f>
        <v>15</v>
      </c>
      <c r="C67" s="17" t="s">
        <v>20</v>
      </c>
      <c r="D67" s="17" t="s">
        <v>53</v>
      </c>
      <c r="E67" t="s">
        <v>55</v>
      </c>
      <c r="I67" s="8"/>
      <c r="K67" s="8"/>
      <c r="M67" s="1" t="s">
        <v>59</v>
      </c>
      <c r="N67" s="1" t="s">
        <v>24</v>
      </c>
      <c r="O67" s="1">
        <v>7</v>
      </c>
    </row>
    <row r="68" spans="1:31" ht="18" x14ac:dyDescent="0.35">
      <c r="A68" s="18" t="s">
        <v>54</v>
      </c>
      <c r="B68" s="34">
        <f>B15/(B31*B32)*10^3</f>
        <v>3.5</v>
      </c>
      <c r="C68" s="17" t="s">
        <v>20</v>
      </c>
      <c r="D68" s="17" t="s">
        <v>53</v>
      </c>
      <c r="E68" s="99" t="s">
        <v>52</v>
      </c>
      <c r="I68" s="8"/>
      <c r="K68" s="8"/>
      <c r="M68" s="1" t="s">
        <v>60</v>
      </c>
      <c r="N68" s="1">
        <v>150</v>
      </c>
      <c r="O68" s="1">
        <v>8</v>
      </c>
    </row>
    <row r="69" spans="1:31" x14ac:dyDescent="0.25">
      <c r="A69" s="18"/>
      <c r="D69" s="17"/>
      <c r="E69" s="99"/>
      <c r="I69" s="8"/>
      <c r="K69" s="8"/>
      <c r="M69" s="1" t="s">
        <v>60</v>
      </c>
      <c r="N69" s="1">
        <v>200</v>
      </c>
      <c r="O69" s="1">
        <v>11</v>
      </c>
    </row>
    <row r="70" spans="1:31" ht="18" x14ac:dyDescent="0.35">
      <c r="A70" s="18"/>
      <c r="D70" s="17"/>
      <c r="E70" s="56" t="s">
        <v>111</v>
      </c>
      <c r="F70" s="105">
        <f>B68/B67</f>
        <v>0.23333333333333334</v>
      </c>
      <c r="G70" s="105"/>
      <c r="I70" s="8"/>
      <c r="K70" s="8"/>
      <c r="M70" s="1" t="s">
        <v>60</v>
      </c>
      <c r="N70" s="1">
        <v>300</v>
      </c>
      <c r="O70" s="1">
        <v>12.5</v>
      </c>
      <c r="AE70" s="8"/>
    </row>
    <row r="71" spans="1:31" x14ac:dyDescent="0.25">
      <c r="A71" s="15"/>
      <c r="B71" s="7"/>
      <c r="C71" s="7"/>
      <c r="D71" s="7"/>
      <c r="E71" s="7"/>
      <c r="F71" s="7"/>
      <c r="G71" s="7"/>
      <c r="H71" s="7"/>
      <c r="I71" s="16"/>
      <c r="J71" s="7"/>
      <c r="K71" s="16"/>
      <c r="M71" s="1" t="s">
        <v>60</v>
      </c>
      <c r="N71" s="1">
        <v>300</v>
      </c>
      <c r="O71" s="1">
        <v>15</v>
      </c>
      <c r="AE71" s="8"/>
    </row>
    <row r="72" spans="1:31" x14ac:dyDescent="0.25">
      <c r="A72" s="60" t="s">
        <v>73</v>
      </c>
      <c r="B72" s="27"/>
      <c r="C72" s="27"/>
      <c r="D72" s="53"/>
      <c r="E72" s="61"/>
      <c r="F72" s="52"/>
      <c r="G72" s="52"/>
      <c r="H72" s="52"/>
      <c r="I72" s="54"/>
      <c r="J72" s="52"/>
      <c r="K72" s="54"/>
      <c r="M72" s="127" t="s">
        <v>66</v>
      </c>
      <c r="N72" s="128"/>
      <c r="O72" s="129"/>
      <c r="AE72" s="8"/>
    </row>
    <row r="73" spans="1:31" x14ac:dyDescent="0.25">
      <c r="A73" s="3"/>
      <c r="B73" s="4"/>
      <c r="C73" s="4"/>
      <c r="D73" s="4"/>
      <c r="E73" s="4"/>
      <c r="F73" s="4"/>
      <c r="G73" s="4"/>
      <c r="H73" s="4"/>
      <c r="I73" s="5"/>
      <c r="J73" s="4"/>
      <c r="K73" s="5"/>
      <c r="M73" s="133"/>
      <c r="N73" s="134"/>
      <c r="O73" s="135"/>
      <c r="AE73" s="8"/>
    </row>
    <row r="74" spans="1:31" x14ac:dyDescent="0.25">
      <c r="A74" s="18" t="s">
        <v>76</v>
      </c>
      <c r="B74" s="34">
        <f>0.1 + 0.6/B75</f>
        <v>0.26714285714285713</v>
      </c>
      <c r="C74" s="17" t="s">
        <v>24</v>
      </c>
      <c r="D74" s="17" t="s">
        <v>77</v>
      </c>
      <c r="E74" t="s">
        <v>78</v>
      </c>
      <c r="I74" s="8"/>
      <c r="K74" s="8"/>
      <c r="M74" s="29"/>
    </row>
    <row r="75" spans="1:31" ht="18" x14ac:dyDescent="0.35">
      <c r="A75" s="18" t="s">
        <v>74</v>
      </c>
      <c r="B75" s="34">
        <f>MAX(N76:N77)</f>
        <v>3.5897435897435899</v>
      </c>
      <c r="C75" s="17" t="s">
        <v>20</v>
      </c>
      <c r="D75" s="17" t="s">
        <v>77</v>
      </c>
      <c r="E75" s="99" t="s">
        <v>75</v>
      </c>
      <c r="I75" s="8"/>
      <c r="K75" s="8"/>
      <c r="M75" s="63" t="s">
        <v>112</v>
      </c>
      <c r="N75" s="63" t="s">
        <v>57</v>
      </c>
      <c r="O75" s="63" t="s">
        <v>95</v>
      </c>
    </row>
    <row r="76" spans="1:31" ht="18" x14ac:dyDescent="0.35">
      <c r="A76" s="18" t="s">
        <v>93</v>
      </c>
      <c r="B76" s="34">
        <f>B13*B74</f>
        <v>160.28571428571428</v>
      </c>
      <c r="C76" s="17" t="s">
        <v>35</v>
      </c>
      <c r="D76" s="17" t="s">
        <v>77</v>
      </c>
      <c r="E76" t="s">
        <v>196</v>
      </c>
      <c r="I76" s="8"/>
      <c r="K76" s="8"/>
      <c r="M76" s="1" t="s">
        <v>86</v>
      </c>
      <c r="N76" s="30">
        <f>B13/B46*10</f>
        <v>3.0769230769230771</v>
      </c>
      <c r="O76" s="30">
        <f>B19</f>
        <v>75</v>
      </c>
    </row>
    <row r="77" spans="1:31" x14ac:dyDescent="0.25">
      <c r="A77" s="6"/>
      <c r="B77" s="103" t="str">
        <f>IF(B76&gt;VLOOKUP(B75,N76:O77,2,FALSE),"Verificado","Deslocamento Excessivo")</f>
        <v>Verificado</v>
      </c>
      <c r="C77" s="104"/>
      <c r="I77" s="8"/>
      <c r="K77" s="8"/>
      <c r="M77" s="1" t="s">
        <v>87</v>
      </c>
      <c r="N77" s="30">
        <f>B15/B46*10</f>
        <v>3.5897435897435899</v>
      </c>
      <c r="O77" s="30">
        <f>SUM(B19:B20)</f>
        <v>95</v>
      </c>
    </row>
    <row r="78" spans="1:31" x14ac:dyDescent="0.25">
      <c r="A78" s="6"/>
      <c r="C78" s="17"/>
      <c r="I78" s="8"/>
      <c r="K78" s="8"/>
    </row>
    <row r="79" spans="1:31" ht="18" x14ac:dyDescent="0.35">
      <c r="A79" s="18"/>
      <c r="C79" s="17"/>
      <c r="E79" s="56" t="s">
        <v>110</v>
      </c>
      <c r="F79" s="105">
        <f>VLOOKUP(B75,N76:O77,2,FALSE)/B76</f>
        <v>0.59269162210338688</v>
      </c>
      <c r="G79" s="105"/>
      <c r="I79" s="8"/>
      <c r="K79" s="8"/>
    </row>
    <row r="80" spans="1:31" x14ac:dyDescent="0.25">
      <c r="A80" s="15"/>
      <c r="B80" s="7"/>
      <c r="C80" s="7"/>
      <c r="D80" s="7"/>
      <c r="E80" s="7"/>
      <c r="F80" s="7"/>
      <c r="G80" s="7"/>
      <c r="H80" s="7"/>
      <c r="I80" s="16"/>
      <c r="J80" s="7"/>
      <c r="K80" s="16"/>
    </row>
    <row r="81" spans="1:17" x14ac:dyDescent="0.25">
      <c r="A81" s="60" t="s">
        <v>103</v>
      </c>
      <c r="B81" s="27"/>
      <c r="C81" s="27"/>
      <c r="D81" s="53"/>
      <c r="E81" s="61"/>
      <c r="F81" s="52"/>
      <c r="G81" s="52"/>
      <c r="H81" s="52"/>
      <c r="I81" s="54"/>
      <c r="J81" s="52"/>
      <c r="K81" s="54"/>
    </row>
    <row r="82" spans="1:17" x14ac:dyDescent="0.25">
      <c r="A82" s="3"/>
      <c r="B82" s="4"/>
      <c r="C82" s="4"/>
      <c r="D82" s="4"/>
      <c r="E82" s="4"/>
      <c r="F82" s="4"/>
      <c r="G82" s="4"/>
      <c r="H82" s="4"/>
      <c r="I82" s="5"/>
      <c r="J82" s="4"/>
      <c r="K82" s="5"/>
    </row>
    <row r="83" spans="1:17" ht="18" x14ac:dyDescent="0.35">
      <c r="A83" s="18" t="s">
        <v>97</v>
      </c>
      <c r="B83" s="34">
        <f>0.5*B36</f>
        <v>20.5</v>
      </c>
      <c r="C83" s="17" t="s">
        <v>39</v>
      </c>
      <c r="D83" s="17" t="s">
        <v>188</v>
      </c>
      <c r="E83" t="s">
        <v>203</v>
      </c>
      <c r="I83" s="8"/>
      <c r="K83" s="8"/>
    </row>
    <row r="84" spans="1:17" ht="18" x14ac:dyDescent="0.35">
      <c r="A84" s="18" t="s">
        <v>105</v>
      </c>
      <c r="B84" s="34">
        <f>B19/(B25*B40*B41)*(B43-1)*B45*10^3</f>
        <v>11.666251866600298</v>
      </c>
      <c r="C84" s="17" t="s">
        <v>39</v>
      </c>
      <c r="D84" s="17" t="s">
        <v>202</v>
      </c>
      <c r="E84" t="s">
        <v>204</v>
      </c>
      <c r="I84" s="8"/>
      <c r="K84" s="8"/>
    </row>
    <row r="85" spans="1:17" ht="18" x14ac:dyDescent="0.35">
      <c r="A85" s="18" t="s">
        <v>104</v>
      </c>
      <c r="B85" s="62">
        <f>B20/(2*B25*B40*B41)*(B43-1)*B45*10^3</f>
        <v>1.5555002488800398</v>
      </c>
      <c r="C85" s="17" t="s">
        <v>39</v>
      </c>
      <c r="D85" s="17" t="s">
        <v>202</v>
      </c>
      <c r="E85" t="s">
        <v>205</v>
      </c>
      <c r="I85" s="8"/>
      <c r="K85" s="8"/>
    </row>
    <row r="86" spans="1:17" x14ac:dyDescent="0.25">
      <c r="A86" s="18" t="s">
        <v>96</v>
      </c>
      <c r="B86" s="62">
        <f>SUM(B84:B85)</f>
        <v>13.221752115480339</v>
      </c>
      <c r="C86" s="17" t="s">
        <v>39</v>
      </c>
      <c r="D86" s="17" t="s">
        <v>202</v>
      </c>
      <c r="E86" t="s">
        <v>205</v>
      </c>
      <c r="I86" s="8"/>
      <c r="K86" s="8"/>
    </row>
    <row r="87" spans="1:17" x14ac:dyDescent="0.25">
      <c r="A87" s="6"/>
      <c r="B87" s="103" t="str">
        <f>IF(B86&lt;B83,"Verificado","Deslocamento Excessivo")</f>
        <v>Verificado</v>
      </c>
      <c r="C87" s="104"/>
      <c r="I87" s="8"/>
      <c r="K87" s="8"/>
    </row>
    <row r="88" spans="1:17" x14ac:dyDescent="0.25">
      <c r="A88" s="6"/>
      <c r="E88" s="56" t="s">
        <v>107</v>
      </c>
      <c r="F88" s="105">
        <f>B86/B83</f>
        <v>0.64496351782830919</v>
      </c>
      <c r="G88" s="105"/>
      <c r="I88" s="8"/>
      <c r="K88" s="8"/>
    </row>
    <row r="89" spans="1:17" x14ac:dyDescent="0.25">
      <c r="A89" s="15"/>
      <c r="B89" s="7"/>
      <c r="C89" s="7"/>
      <c r="D89" s="7"/>
      <c r="E89" s="7"/>
      <c r="F89" s="7"/>
      <c r="G89" s="7"/>
      <c r="H89" s="7"/>
      <c r="I89" s="16"/>
      <c r="J89" s="7"/>
      <c r="K89" s="16"/>
    </row>
    <row r="90" spans="1:17" ht="15.75" x14ac:dyDescent="0.25">
      <c r="A90" s="60" t="s">
        <v>125</v>
      </c>
      <c r="B90" s="27"/>
      <c r="C90" s="27"/>
      <c r="D90" s="53"/>
      <c r="E90" s="61"/>
      <c r="F90" s="52"/>
      <c r="G90" s="52"/>
      <c r="H90" s="52"/>
      <c r="I90" s="54"/>
      <c r="J90" s="52"/>
      <c r="K90" s="54"/>
      <c r="M90" s="111" t="s">
        <v>208</v>
      </c>
      <c r="N90" s="112"/>
      <c r="O90" s="112"/>
      <c r="P90" s="112"/>
      <c r="Q90" s="113"/>
    </row>
    <row r="91" spans="1:17" ht="15" customHeight="1" x14ac:dyDescent="0.25">
      <c r="A91" s="3"/>
      <c r="B91" s="4"/>
      <c r="C91" s="4"/>
      <c r="D91" s="4"/>
      <c r="E91" s="4"/>
      <c r="F91" s="4"/>
      <c r="G91" s="4"/>
      <c r="H91" s="4"/>
      <c r="I91" s="5"/>
      <c r="J91" s="4"/>
      <c r="K91" s="5"/>
      <c r="M91" s="127" t="s">
        <v>209</v>
      </c>
      <c r="N91" s="128"/>
      <c r="O91" s="128"/>
      <c r="P91" s="128"/>
      <c r="Q91" s="129"/>
    </row>
    <row r="92" spans="1:17" ht="18" x14ac:dyDescent="0.35">
      <c r="A92" s="18" t="s">
        <v>118</v>
      </c>
      <c r="B92" s="34">
        <f>0.15*B36</f>
        <v>6.1499999999999995</v>
      </c>
      <c r="C92" s="17" t="s">
        <v>39</v>
      </c>
      <c r="D92" s="17" t="s">
        <v>117</v>
      </c>
      <c r="E92" s="99" t="s">
        <v>119</v>
      </c>
      <c r="I92" s="8"/>
      <c r="K92" s="8"/>
      <c r="M92" s="130"/>
      <c r="N92" s="131"/>
      <c r="O92" s="131"/>
      <c r="P92" s="131"/>
      <c r="Q92" s="132"/>
    </row>
    <row r="93" spans="1:17" x14ac:dyDescent="0.25">
      <c r="A93" s="18"/>
      <c r="C93" s="17"/>
      <c r="D93" s="17"/>
      <c r="E93" s="99"/>
      <c r="I93" s="8"/>
      <c r="K93" s="8"/>
      <c r="M93" s="130"/>
      <c r="N93" s="131"/>
      <c r="O93" s="131"/>
      <c r="P93" s="131"/>
      <c r="Q93" s="132"/>
    </row>
    <row r="94" spans="1:17" ht="18" x14ac:dyDescent="0.35">
      <c r="A94" s="18" t="s">
        <v>153</v>
      </c>
      <c r="B94" s="34">
        <f>B13/((B40-B42)*B41)*10^3</f>
        <v>3.1907697412923892</v>
      </c>
      <c r="C94" s="17" t="s">
        <v>20</v>
      </c>
      <c r="D94" s="17" t="s">
        <v>206</v>
      </c>
      <c r="E94" s="99" t="s">
        <v>114</v>
      </c>
      <c r="I94" s="8"/>
      <c r="K94" s="8"/>
      <c r="M94" s="130"/>
      <c r="N94" s="131"/>
      <c r="O94" s="131"/>
      <c r="P94" s="131"/>
      <c r="Q94" s="132"/>
    </row>
    <row r="95" spans="1:17" ht="18" x14ac:dyDescent="0.35">
      <c r="A95" s="18" t="s">
        <v>113</v>
      </c>
      <c r="B95" s="34">
        <f>B14/((B40-B42)*B41)*10^3</f>
        <v>0.53179495688206491</v>
      </c>
      <c r="C95" s="17" t="s">
        <v>20</v>
      </c>
      <c r="D95" s="17" t="s">
        <v>206</v>
      </c>
      <c r="E95" s="99" t="s">
        <v>115</v>
      </c>
      <c r="I95" s="8"/>
      <c r="K95" s="8"/>
      <c r="M95" s="133"/>
      <c r="N95" s="134"/>
      <c r="O95" s="134"/>
      <c r="P95" s="134"/>
      <c r="Q95" s="135"/>
    </row>
    <row r="96" spans="1:17" x14ac:dyDescent="0.25">
      <c r="A96" s="18" t="s">
        <v>166</v>
      </c>
      <c r="B96" s="34">
        <f>B40*B41/(2*B45*(B40+B41))</f>
        <v>9.0904977375565608</v>
      </c>
      <c r="C96" s="17" t="s">
        <v>24</v>
      </c>
      <c r="D96" s="17" t="s">
        <v>206</v>
      </c>
      <c r="E96" s="99" t="s">
        <v>126</v>
      </c>
      <c r="I96" s="8"/>
      <c r="K96" s="8"/>
    </row>
    <row r="97" spans="1:12" x14ac:dyDescent="0.25">
      <c r="A97" s="18" t="s">
        <v>116</v>
      </c>
      <c r="B97" s="34">
        <f>(B94+B95)/(B7*B25*B96+B8*(B94+B95))*(B43-1)*B45</f>
        <v>2.2192641316995925</v>
      </c>
      <c r="C97" s="17" t="s">
        <v>39</v>
      </c>
      <c r="D97" s="17" t="s">
        <v>117</v>
      </c>
      <c r="E97" s="99" t="s">
        <v>119</v>
      </c>
      <c r="I97" s="8"/>
      <c r="K97" s="8"/>
    </row>
    <row r="98" spans="1:12" x14ac:dyDescent="0.25">
      <c r="A98" s="6"/>
      <c r="B98" s="103" t="str">
        <f>IF(B97&lt;B92,"Verificado","Deslocamento Excessivo")</f>
        <v>Verificado</v>
      </c>
      <c r="C98" s="104"/>
      <c r="I98" s="8"/>
      <c r="K98" s="8"/>
    </row>
    <row r="99" spans="1:12" x14ac:dyDescent="0.25">
      <c r="A99" s="6"/>
      <c r="I99" s="8"/>
      <c r="K99" s="8"/>
    </row>
    <row r="100" spans="1:12" x14ac:dyDescent="0.25">
      <c r="A100" s="6"/>
      <c r="E100" s="56" t="s">
        <v>122</v>
      </c>
      <c r="F100" s="105">
        <f>B97/B92</f>
        <v>0.36085595637391749</v>
      </c>
      <c r="G100" s="105"/>
      <c r="I100" s="8"/>
      <c r="K100" s="8"/>
    </row>
    <row r="101" spans="1:12" x14ac:dyDescent="0.25">
      <c r="A101" s="15"/>
      <c r="B101" s="7"/>
      <c r="C101" s="7"/>
      <c r="D101" s="7"/>
      <c r="E101" s="7"/>
      <c r="F101" s="7"/>
      <c r="G101" s="7"/>
      <c r="H101" s="7"/>
      <c r="I101" s="16"/>
      <c r="J101" s="7"/>
      <c r="K101" s="16"/>
    </row>
    <row r="102" spans="1:12" x14ac:dyDescent="0.25">
      <c r="A102" s="60" t="s">
        <v>151</v>
      </c>
      <c r="B102" s="27"/>
      <c r="C102" s="27"/>
      <c r="D102" s="53"/>
      <c r="E102" s="61"/>
      <c r="F102" s="52"/>
      <c r="G102" s="52"/>
      <c r="H102" s="52"/>
      <c r="I102" s="54"/>
      <c r="J102" s="52"/>
      <c r="K102" s="54"/>
    </row>
    <row r="103" spans="1:12" x14ac:dyDescent="0.25">
      <c r="A103" s="67" t="s">
        <v>152</v>
      </c>
      <c r="B103" s="68"/>
      <c r="C103" s="68"/>
      <c r="D103" s="69"/>
      <c r="E103" s="70"/>
      <c r="F103" s="71"/>
      <c r="G103" s="71"/>
      <c r="H103" s="71"/>
      <c r="I103" s="72"/>
      <c r="J103" s="71"/>
      <c r="K103" s="72"/>
    </row>
    <row r="104" spans="1:12" x14ac:dyDescent="0.25">
      <c r="A104" s="3"/>
      <c r="B104" s="4"/>
      <c r="C104" s="4"/>
      <c r="D104" s="4"/>
      <c r="E104" s="4"/>
      <c r="F104" s="4"/>
      <c r="G104" s="4"/>
      <c r="H104" s="4"/>
      <c r="I104" s="5"/>
      <c r="J104" s="4"/>
      <c r="K104" s="5"/>
    </row>
    <row r="105" spans="1:12" ht="18" x14ac:dyDescent="0.35">
      <c r="A105" s="18" t="s">
        <v>153</v>
      </c>
      <c r="B105" s="34">
        <f>B13/((B40-B42)*B41)*10^3</f>
        <v>3.1907697412923892</v>
      </c>
      <c r="C105" s="17" t="s">
        <v>20</v>
      </c>
      <c r="D105" s="17" t="s">
        <v>206</v>
      </c>
      <c r="E105" s="99" t="s">
        <v>114</v>
      </c>
      <c r="I105" s="8"/>
      <c r="K105" s="8"/>
    </row>
    <row r="106" spans="1:12" x14ac:dyDescent="0.25">
      <c r="A106" s="18" t="s">
        <v>174</v>
      </c>
      <c r="B106" s="34">
        <f>B105/(4*B25*B96^2+3*(B105))</f>
        <v>1.164466963283913E-2</v>
      </c>
      <c r="C106" s="17" t="s">
        <v>24</v>
      </c>
      <c r="D106" s="17" t="s">
        <v>206</v>
      </c>
      <c r="E106" t="s">
        <v>176</v>
      </c>
      <c r="I106" s="8"/>
      <c r="K106" s="8"/>
    </row>
    <row r="107" spans="1:12" ht="18" x14ac:dyDescent="0.35">
      <c r="A107" s="18" t="s">
        <v>154</v>
      </c>
      <c r="B107" s="34">
        <f>6*B106*B45/B40*(B43-1)</f>
        <v>4.2776337426755984E-3</v>
      </c>
      <c r="C107" s="17" t="s">
        <v>24</v>
      </c>
      <c r="D107" s="17" t="s">
        <v>206</v>
      </c>
      <c r="E107" t="s">
        <v>155</v>
      </c>
      <c r="I107" s="8"/>
      <c r="K107" s="8"/>
    </row>
    <row r="108" spans="1:12" x14ac:dyDescent="0.25">
      <c r="A108" s="18" t="s">
        <v>170</v>
      </c>
      <c r="B108" s="81">
        <f>ATAN(B107)</f>
        <v>4.2776076520334655E-3</v>
      </c>
      <c r="C108" s="17" t="s">
        <v>43</v>
      </c>
      <c r="D108" s="17"/>
      <c r="E108" t="s">
        <v>172</v>
      </c>
      <c r="I108" s="8"/>
      <c r="K108" s="8"/>
      <c r="L108" t="s">
        <v>173</v>
      </c>
    </row>
    <row r="109" spans="1:12" x14ac:dyDescent="0.25">
      <c r="A109" s="6"/>
      <c r="B109" s="103" t="str">
        <f>IF(B108&lt;B26,"Verificado","Rotação Excessivo")</f>
        <v>Verificado</v>
      </c>
      <c r="C109" s="104"/>
      <c r="I109" s="8"/>
      <c r="K109" s="8"/>
    </row>
    <row r="110" spans="1:12" x14ac:dyDescent="0.25">
      <c r="A110" s="6"/>
      <c r="I110" s="8"/>
      <c r="K110" s="8"/>
    </row>
    <row r="111" spans="1:12" x14ac:dyDescent="0.25">
      <c r="A111" s="6"/>
      <c r="E111" s="56" t="s">
        <v>175</v>
      </c>
      <c r="F111" s="105">
        <f>B108/B26</f>
        <v>0.42776076520334655</v>
      </c>
      <c r="G111" s="105"/>
      <c r="I111" s="8"/>
      <c r="K111" s="8"/>
    </row>
    <row r="112" spans="1:12" x14ac:dyDescent="0.25">
      <c r="A112" s="15"/>
      <c r="B112" s="7"/>
      <c r="C112" s="7"/>
      <c r="D112" s="7"/>
      <c r="E112" s="7"/>
      <c r="F112" s="7"/>
      <c r="G112" s="7"/>
      <c r="H112" s="7"/>
      <c r="I112" s="16"/>
      <c r="J112" s="7"/>
      <c r="K112" s="16"/>
    </row>
    <row r="113" spans="1:11" x14ac:dyDescent="0.25">
      <c r="A113" s="67" t="s">
        <v>156</v>
      </c>
      <c r="B113" s="68"/>
      <c r="C113" s="68"/>
      <c r="D113" s="69"/>
      <c r="E113" s="70"/>
      <c r="F113" s="71"/>
      <c r="G113" s="71"/>
      <c r="H113" s="71"/>
      <c r="I113" s="72"/>
      <c r="J113" s="71"/>
      <c r="K113" s="72"/>
    </row>
    <row r="114" spans="1:11" x14ac:dyDescent="0.25">
      <c r="A114" s="3"/>
      <c r="B114" s="4"/>
      <c r="C114" s="4"/>
      <c r="D114" s="4"/>
      <c r="E114" s="4"/>
      <c r="F114" s="4"/>
      <c r="G114" s="4"/>
      <c r="H114" s="4"/>
      <c r="I114" s="5"/>
      <c r="J114" s="4"/>
      <c r="K114" s="5"/>
    </row>
    <row r="115" spans="1:11" ht="18" x14ac:dyDescent="0.35">
      <c r="A115" s="18" t="s">
        <v>153</v>
      </c>
      <c r="B115" s="34">
        <f>B13/((B40-B42)*B41)*10^3</f>
        <v>3.1907697412923892</v>
      </c>
      <c r="C115" s="17" t="s">
        <v>20</v>
      </c>
      <c r="D115" s="17" t="s">
        <v>206</v>
      </c>
      <c r="E115" s="99" t="s">
        <v>114</v>
      </c>
      <c r="I115" s="8"/>
      <c r="K115" s="8"/>
    </row>
    <row r="116" spans="1:11" ht="18" x14ac:dyDescent="0.35">
      <c r="A116" s="18" t="s">
        <v>113</v>
      </c>
      <c r="B116" s="34">
        <f>B14/((B40-B42)*B41)*10^3</f>
        <v>0.53179495688206491</v>
      </c>
      <c r="C116" s="17" t="s">
        <v>20</v>
      </c>
      <c r="D116" s="17" t="s">
        <v>206</v>
      </c>
      <c r="E116" s="99" t="s">
        <v>115</v>
      </c>
      <c r="I116" s="8"/>
      <c r="K116" s="8"/>
    </row>
    <row r="117" spans="1:11" x14ac:dyDescent="0.25">
      <c r="A117" s="18" t="s">
        <v>174</v>
      </c>
      <c r="B117" s="34">
        <f>(B115+B116)/(4*B25*B96^2+3*(B115+B116))</f>
        <v>1.3506806753757927E-2</v>
      </c>
      <c r="C117" s="17" t="s">
        <v>24</v>
      </c>
      <c r="D117" s="17" t="s">
        <v>206</v>
      </c>
      <c r="E117" t="s">
        <v>176</v>
      </c>
      <c r="I117" s="8"/>
      <c r="K117" s="8"/>
    </row>
    <row r="118" spans="1:11" ht="18" x14ac:dyDescent="0.35">
      <c r="A118" s="18" t="s">
        <v>195</v>
      </c>
      <c r="B118" s="34">
        <f>6*B117*B45/B40*(B43-1)</f>
        <v>4.9616841136253609E-3</v>
      </c>
      <c r="C118" s="17" t="s">
        <v>24</v>
      </c>
      <c r="D118" s="17" t="s">
        <v>206</v>
      </c>
      <c r="E118" t="s">
        <v>155</v>
      </c>
      <c r="I118" s="8"/>
      <c r="K118" s="8"/>
    </row>
    <row r="119" spans="1:11" x14ac:dyDescent="0.25">
      <c r="A119" s="18" t="s">
        <v>170</v>
      </c>
      <c r="B119" s="81">
        <f>ATAN(B118)</f>
        <v>4.9616433981354751E-3</v>
      </c>
      <c r="C119" s="17" t="s">
        <v>43</v>
      </c>
      <c r="D119" s="17"/>
      <c r="E119" t="s">
        <v>172</v>
      </c>
      <c r="I119" s="8"/>
      <c r="K119" s="8"/>
    </row>
    <row r="120" spans="1:11" x14ac:dyDescent="0.25">
      <c r="A120" s="6"/>
      <c r="B120" s="103" t="str">
        <f>IF(B119&lt;B26,"Verificado","Rotação Excessivo")</f>
        <v>Verificado</v>
      </c>
      <c r="C120" s="104"/>
      <c r="I120" s="8"/>
      <c r="K120" s="8"/>
    </row>
    <row r="121" spans="1:11" x14ac:dyDescent="0.25">
      <c r="A121" s="6"/>
      <c r="I121" s="8"/>
      <c r="K121" s="8"/>
    </row>
    <row r="122" spans="1:11" x14ac:dyDescent="0.25">
      <c r="A122" s="6"/>
      <c r="E122" s="56" t="s">
        <v>175</v>
      </c>
      <c r="F122" s="105">
        <f>B119/B26</f>
        <v>0.49616433981354752</v>
      </c>
      <c r="G122" s="105"/>
      <c r="I122" s="8"/>
      <c r="K122" s="8"/>
    </row>
    <row r="123" spans="1:11" x14ac:dyDescent="0.25">
      <c r="A123" s="15"/>
      <c r="B123" s="7"/>
      <c r="C123" s="7"/>
      <c r="D123" s="7"/>
      <c r="E123" s="7"/>
      <c r="F123" s="7"/>
      <c r="G123" s="7"/>
      <c r="H123" s="7"/>
      <c r="I123" s="16"/>
      <c r="J123" s="7"/>
      <c r="K123" s="16"/>
    </row>
    <row r="124" spans="1:11" x14ac:dyDescent="0.25">
      <c r="A124" s="60" t="s">
        <v>192</v>
      </c>
      <c r="B124" s="27"/>
      <c r="C124" s="27"/>
      <c r="D124" s="53"/>
      <c r="E124" s="61"/>
      <c r="F124" s="52"/>
      <c r="G124" s="52"/>
      <c r="H124" s="52"/>
      <c r="I124" s="54"/>
      <c r="J124" s="52"/>
      <c r="K124" s="54"/>
    </row>
    <row r="125" spans="1:11" x14ac:dyDescent="0.25">
      <c r="A125" s="67" t="s">
        <v>193</v>
      </c>
      <c r="B125" s="68"/>
      <c r="C125" s="68"/>
      <c r="D125" s="69"/>
      <c r="E125" s="70"/>
      <c r="F125" s="71"/>
      <c r="G125" s="71"/>
      <c r="H125" s="71"/>
      <c r="I125" s="72"/>
      <c r="J125" s="71"/>
      <c r="K125" s="72"/>
    </row>
    <row r="126" spans="1:11" x14ac:dyDescent="0.25">
      <c r="A126" s="3"/>
      <c r="B126" s="4"/>
      <c r="C126" s="4"/>
      <c r="D126" s="4"/>
      <c r="E126" s="4"/>
      <c r="F126" s="4"/>
      <c r="G126" s="4"/>
      <c r="H126" s="4"/>
      <c r="I126" s="4"/>
      <c r="J126" s="3"/>
      <c r="K126" s="5"/>
    </row>
    <row r="127" spans="1:11" ht="18" x14ac:dyDescent="0.35">
      <c r="A127" s="18" t="s">
        <v>144</v>
      </c>
      <c r="B127" s="34">
        <f>5*B25</f>
        <v>4</v>
      </c>
      <c r="C127" s="17" t="s">
        <v>20</v>
      </c>
      <c r="D127" s="17" t="s">
        <v>143</v>
      </c>
      <c r="E127" t="s">
        <v>198</v>
      </c>
      <c r="J127" s="6"/>
      <c r="K127" s="8"/>
    </row>
    <row r="128" spans="1:11" x14ac:dyDescent="0.25">
      <c r="A128" s="6"/>
      <c r="J128" s="6"/>
      <c r="K128" s="8"/>
    </row>
    <row r="129" spans="1:13" ht="18" x14ac:dyDescent="0.35">
      <c r="A129" s="18" t="s">
        <v>137</v>
      </c>
      <c r="B129" s="34">
        <f>1.5*B13/(B96*B31*B32)*10^3</f>
        <v>0.49502239920358382</v>
      </c>
      <c r="C129" s="17" t="s">
        <v>20</v>
      </c>
      <c r="D129" s="17" t="s">
        <v>143</v>
      </c>
      <c r="E129" t="s">
        <v>138</v>
      </c>
      <c r="J129" s="6"/>
      <c r="K129" s="8"/>
    </row>
    <row r="130" spans="1:13" ht="18" x14ac:dyDescent="0.35">
      <c r="A130" s="18" t="s">
        <v>140</v>
      </c>
      <c r="B130" s="34">
        <f>B19/(B31*B32)*10^3</f>
        <v>0.375</v>
      </c>
      <c r="C130" s="17" t="s">
        <v>20</v>
      </c>
      <c r="D130" s="17" t="s">
        <v>143</v>
      </c>
      <c r="E130" t="s">
        <v>139</v>
      </c>
      <c r="J130" s="6"/>
      <c r="K130" s="8"/>
    </row>
    <row r="131" spans="1:13" ht="18" x14ac:dyDescent="0.35">
      <c r="A131" s="18" t="s">
        <v>141</v>
      </c>
      <c r="B131" s="34">
        <f>B25*B31^2/(2*B45^2*(B43-1))*B107</f>
        <v>0.950585276150133</v>
      </c>
      <c r="C131" s="17" t="s">
        <v>20</v>
      </c>
      <c r="D131" s="17" t="s">
        <v>143</v>
      </c>
      <c r="E131" t="s">
        <v>142</v>
      </c>
      <c r="J131" s="6"/>
      <c r="K131" s="8"/>
    </row>
    <row r="132" spans="1:13" x14ac:dyDescent="0.25">
      <c r="A132" s="18" t="s">
        <v>145</v>
      </c>
      <c r="B132" s="34">
        <f>SUM(B129:B131)</f>
        <v>1.8206076753537168</v>
      </c>
      <c r="C132" s="17" t="s">
        <v>20</v>
      </c>
      <c r="D132" s="17"/>
      <c r="E132" t="s">
        <v>146</v>
      </c>
      <c r="J132" s="6"/>
      <c r="K132" s="8"/>
    </row>
    <row r="133" spans="1:13" x14ac:dyDescent="0.25">
      <c r="A133" s="6"/>
      <c r="B133" s="103" t="str">
        <f>IF(B132&lt;B127,"Verificado","Tensão Excessivo")</f>
        <v>Verificado</v>
      </c>
      <c r="C133" s="104"/>
      <c r="J133" s="6"/>
      <c r="K133" s="8"/>
    </row>
    <row r="134" spans="1:13" x14ac:dyDescent="0.25">
      <c r="A134" s="6"/>
      <c r="J134" s="6"/>
      <c r="K134" s="8"/>
    </row>
    <row r="135" spans="1:13" x14ac:dyDescent="0.25">
      <c r="A135" s="6"/>
      <c r="E135" s="56" t="s">
        <v>147</v>
      </c>
      <c r="F135" s="105">
        <f>B132/B127</f>
        <v>0.4551519188384292</v>
      </c>
      <c r="G135" s="105"/>
      <c r="J135" s="6"/>
      <c r="K135" s="8"/>
    </row>
    <row r="136" spans="1:13" x14ac:dyDescent="0.25">
      <c r="A136" s="15"/>
      <c r="B136" s="7"/>
      <c r="C136" s="7"/>
      <c r="D136" s="7"/>
      <c r="E136" s="7"/>
      <c r="F136" s="7"/>
      <c r="G136" s="7"/>
      <c r="H136" s="7"/>
      <c r="I136" s="7"/>
      <c r="J136" s="15"/>
      <c r="K136" s="16"/>
    </row>
    <row r="137" spans="1:13" x14ac:dyDescent="0.25">
      <c r="A137" s="67" t="s">
        <v>194</v>
      </c>
      <c r="B137" s="68"/>
      <c r="C137" s="68"/>
      <c r="D137" s="69"/>
      <c r="E137" s="70"/>
      <c r="F137" s="71"/>
      <c r="G137" s="71"/>
      <c r="H137" s="71"/>
      <c r="I137" s="72"/>
      <c r="J137" s="71"/>
      <c r="K137" s="72"/>
    </row>
    <row r="138" spans="1:13" x14ac:dyDescent="0.25">
      <c r="A138" s="3"/>
      <c r="B138" s="4"/>
      <c r="C138" s="4"/>
      <c r="D138" s="4"/>
      <c r="E138" s="4"/>
      <c r="F138" s="4"/>
      <c r="G138" s="4"/>
      <c r="H138" s="4"/>
      <c r="I138" s="4"/>
      <c r="J138" s="3"/>
      <c r="K138" s="5"/>
    </row>
    <row r="139" spans="1:13" ht="18" x14ac:dyDescent="0.35">
      <c r="A139" s="18" t="s">
        <v>144</v>
      </c>
      <c r="B139" s="34">
        <f>5*B25</f>
        <v>4</v>
      </c>
      <c r="C139" s="17" t="s">
        <v>20</v>
      </c>
      <c r="D139" s="17" t="s">
        <v>143</v>
      </c>
      <c r="E139" t="s">
        <v>197</v>
      </c>
      <c r="J139" s="6"/>
      <c r="K139" s="8"/>
      <c r="M139" s="48"/>
    </row>
    <row r="140" spans="1:13" x14ac:dyDescent="0.25">
      <c r="A140" s="6"/>
      <c r="J140" s="6"/>
      <c r="K140" s="8"/>
      <c r="M140" s="31" t="s">
        <v>30</v>
      </c>
    </row>
    <row r="141" spans="1:13" ht="18" x14ac:dyDescent="0.35">
      <c r="A141" s="18" t="s">
        <v>137</v>
      </c>
      <c r="B141" s="34">
        <f>1.5*(B13+B14*1.5)/(B96*B31*B32)*10^3</f>
        <v>0.61877799900447983</v>
      </c>
      <c r="C141" s="17" t="s">
        <v>20</v>
      </c>
      <c r="D141" s="17" t="s">
        <v>143</v>
      </c>
      <c r="E141" t="s">
        <v>138</v>
      </c>
      <c r="J141" s="6"/>
      <c r="K141" s="8"/>
      <c r="M141" s="31" t="s">
        <v>31</v>
      </c>
    </row>
    <row r="142" spans="1:13" ht="18" x14ac:dyDescent="0.35">
      <c r="A142" s="18" t="s">
        <v>140</v>
      </c>
      <c r="B142" s="34">
        <f>(B19+B20*0.5)/(B31*B32)*10^3</f>
        <v>0.42499999999999999</v>
      </c>
      <c r="C142" s="17" t="s">
        <v>20</v>
      </c>
      <c r="D142" s="17" t="s">
        <v>143</v>
      </c>
      <c r="E142" t="s">
        <v>139</v>
      </c>
      <c r="J142" s="6"/>
      <c r="K142" s="8"/>
      <c r="M142" s="49" t="s">
        <v>32</v>
      </c>
    </row>
    <row r="143" spans="1:13" ht="18" x14ac:dyDescent="0.35">
      <c r="A143" s="18" t="s">
        <v>141</v>
      </c>
      <c r="B143" s="34">
        <f>B25*B31^2/(2*B45^2*(B43-1))*B118</f>
        <v>1.1025964696945247</v>
      </c>
      <c r="C143" s="17" t="s">
        <v>20</v>
      </c>
      <c r="D143" s="17" t="s">
        <v>143</v>
      </c>
      <c r="E143" t="s">
        <v>142</v>
      </c>
      <c r="J143" s="6"/>
      <c r="K143" s="8"/>
      <c r="M143" s="31"/>
    </row>
    <row r="144" spans="1:13" x14ac:dyDescent="0.25">
      <c r="A144" s="18" t="s">
        <v>145</v>
      </c>
      <c r="B144" s="34">
        <f>SUM(B141:B143)</f>
        <v>2.1463744686990047</v>
      </c>
      <c r="C144" s="17" t="s">
        <v>20</v>
      </c>
      <c r="D144" s="17"/>
      <c r="E144" t="s">
        <v>146</v>
      </c>
      <c r="J144" s="6"/>
      <c r="K144" s="8"/>
      <c r="M144" s="31"/>
    </row>
    <row r="145" spans="1:13" x14ac:dyDescent="0.25">
      <c r="A145" s="6"/>
      <c r="B145" s="103" t="str">
        <f>IF(B144&lt;B139,"Verificado","Tensão Excessivo")</f>
        <v>Verificado</v>
      </c>
      <c r="C145" s="104"/>
      <c r="J145" s="6"/>
      <c r="K145" s="8"/>
      <c r="M145" s="31"/>
    </row>
    <row r="146" spans="1:13" x14ac:dyDescent="0.25">
      <c r="A146" s="6"/>
      <c r="J146" s="6"/>
      <c r="K146" s="8"/>
    </row>
    <row r="147" spans="1:13" x14ac:dyDescent="0.25">
      <c r="A147" s="6"/>
      <c r="E147" s="56" t="s">
        <v>147</v>
      </c>
      <c r="F147" s="105">
        <f>B144/B139</f>
        <v>0.53659361717475118</v>
      </c>
      <c r="G147" s="105"/>
      <c r="J147" s="6"/>
      <c r="K147" s="8"/>
    </row>
    <row r="148" spans="1:13" x14ac:dyDescent="0.25">
      <c r="A148" s="15"/>
      <c r="B148" s="7"/>
      <c r="C148" s="7"/>
      <c r="D148" s="7"/>
      <c r="E148" s="7"/>
      <c r="F148" s="7"/>
      <c r="G148" s="7"/>
      <c r="H148" s="7"/>
      <c r="I148" s="7"/>
      <c r="J148" s="15"/>
      <c r="K148" s="16"/>
    </row>
  </sheetData>
  <mergeCells count="35">
    <mergeCell ref="M90:Q90"/>
    <mergeCell ref="M91:Q95"/>
    <mergeCell ref="F88:G88"/>
    <mergeCell ref="O23:P23"/>
    <mergeCell ref="F70:G70"/>
    <mergeCell ref="F79:G79"/>
    <mergeCell ref="M65:O65"/>
    <mergeCell ref="M72:O73"/>
    <mergeCell ref="M44:N44"/>
    <mergeCell ref="M37:O38"/>
    <mergeCell ref="M27:N28"/>
    <mergeCell ref="B87:C87"/>
    <mergeCell ref="AC1:AD1"/>
    <mergeCell ref="U8:Y8"/>
    <mergeCell ref="M1:Q1"/>
    <mergeCell ref="M11:Q11"/>
    <mergeCell ref="A64:B64"/>
    <mergeCell ref="M21:P21"/>
    <mergeCell ref="O24:P24"/>
    <mergeCell ref="A1:B1"/>
    <mergeCell ref="A2:B2"/>
    <mergeCell ref="U1:W1"/>
    <mergeCell ref="B17:C17"/>
    <mergeCell ref="B77:C77"/>
    <mergeCell ref="O22:P22"/>
    <mergeCell ref="B133:C133"/>
    <mergeCell ref="F135:G135"/>
    <mergeCell ref="B145:C145"/>
    <mergeCell ref="F147:G147"/>
    <mergeCell ref="B98:C98"/>
    <mergeCell ref="F100:G100"/>
    <mergeCell ref="B109:C109"/>
    <mergeCell ref="F111:G111"/>
    <mergeCell ref="B120:C120"/>
    <mergeCell ref="F122:G122"/>
  </mergeCells>
  <phoneticPr fontId="12" type="noConversion"/>
  <conditionalFormatting sqref="B87:C87">
    <cfRule type="containsText" dxfId="14" priority="17" operator="containsText" text="Verificado">
      <formula>NOT(ISERROR(SEARCH("Verificado",B87)))</formula>
    </cfRule>
  </conditionalFormatting>
  <conditionalFormatting sqref="B17:C17">
    <cfRule type="containsText" dxfId="13" priority="16" operator="containsText" text="Verificado">
      <formula>NOT(ISERROR(SEARCH("Verificado",B17)))</formula>
    </cfRule>
  </conditionalFormatting>
  <conditionalFormatting sqref="B98:C98">
    <cfRule type="containsText" dxfId="12" priority="15" operator="containsText" text="Verificado">
      <formula>NOT(ISERROR(SEARCH("Verificado",B98)))</formula>
    </cfRule>
  </conditionalFormatting>
  <conditionalFormatting sqref="N12:N19">
    <cfRule type="cellIs" dxfId="11" priority="9" operator="greaterThan">
      <formula>1</formula>
    </cfRule>
    <cfRule type="cellIs" dxfId="10" priority="10" operator="between">
      <formula>0.80000000001</formula>
      <formula>1</formula>
    </cfRule>
    <cfRule type="cellIs" dxfId="9" priority="11" operator="between">
      <formula>0.60000001</formula>
      <formula>0.8</formula>
    </cfRule>
    <cfRule type="cellIs" dxfId="8" priority="12" operator="between">
      <formula>0.400000001</formula>
      <formula>0.6</formula>
    </cfRule>
    <cfRule type="cellIs" dxfId="7" priority="13" operator="between">
      <formula>0.2000000000001</formula>
      <formula>0.4</formula>
    </cfRule>
    <cfRule type="cellIs" dxfId="6" priority="14" operator="lessThan">
      <formula>0.2</formula>
    </cfRule>
  </conditionalFormatting>
  <conditionalFormatting sqref="B133:C133">
    <cfRule type="containsText" dxfId="5" priority="8" operator="containsText" text="Verificado">
      <formula>NOT(ISERROR(SEARCH("Verificado",B133)))</formula>
    </cfRule>
  </conditionalFormatting>
  <conditionalFormatting sqref="B145:C145">
    <cfRule type="containsText" dxfId="4" priority="7" operator="containsText" text="Verificado">
      <formula>NOT(ISERROR(SEARCH("Verificado",B145)))</formula>
    </cfRule>
  </conditionalFormatting>
  <conditionalFormatting sqref="B109:C109">
    <cfRule type="containsText" dxfId="3" priority="6" operator="containsText" text="Verificado">
      <formula>NOT(ISERROR(SEARCH("Verificado",B109)))</formula>
    </cfRule>
  </conditionalFormatting>
  <conditionalFormatting sqref="B120:C120">
    <cfRule type="containsText" dxfId="2" priority="3" operator="containsText" text="Verificado">
      <formula>NOT(ISERROR(SEARCH("Verificado",B120)))</formula>
    </cfRule>
  </conditionalFormatting>
  <conditionalFormatting sqref="B77:C77">
    <cfRule type="containsText" dxfId="1" priority="2" operator="containsText" text="Verificado">
      <formula>NOT(ISERROR(SEARCH("Verificado",B77)))</formula>
    </cfRule>
  </conditionalFormatting>
  <conditionalFormatting sqref="N25">
    <cfRule type="expression" dxfId="0" priority="1">
      <formula>$N$24="Sim"</formula>
    </cfRule>
  </conditionalFormatting>
  <dataValidations disablePrompts="1" count="3">
    <dataValidation type="list" allowBlank="1" showInputMessage="1" showErrorMessage="1" sqref="D28:D29 D38" xr:uid="{66B598BF-6518-488A-914E-1C93CA8ADED3}">
      <formula1>$M$67:$M$68</formula1>
    </dataValidation>
    <dataValidation type="list" allowBlank="1" showInputMessage="1" showErrorMessage="1" sqref="D22" xr:uid="{9D93EC57-8F31-4A07-9421-194A94F4CD69}">
      <formula1>$M$34:$M$36</formula1>
    </dataValidation>
    <dataValidation type="list" allowBlank="1" showInputMessage="1" showErrorMessage="1" sqref="N24" xr:uid="{76146D64-6D1B-4CE1-8621-9E435FD8DC7F}">
      <formula1>$Q$24:$Q$25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E08D-8057-4527-BD7A-5D79CD19251A}">
  <sheetPr codeName="Planilha2"/>
  <dimension ref="A2:F291"/>
  <sheetViews>
    <sheetView workbookViewId="0">
      <selection activeCell="K22" sqref="K22"/>
    </sheetView>
  </sheetViews>
  <sheetFormatPr defaultRowHeight="15" x14ac:dyDescent="0.25"/>
  <cols>
    <col min="1" max="1" width="3" bestFit="1" customWidth="1"/>
  </cols>
  <sheetData>
    <row r="2" spans="1:6" x14ac:dyDescent="0.25">
      <c r="A2" s="136" t="s">
        <v>179</v>
      </c>
      <c r="B2" s="136"/>
      <c r="C2" s="136"/>
      <c r="E2" t="s">
        <v>181</v>
      </c>
    </row>
    <row r="3" spans="1:6" x14ac:dyDescent="0.25">
      <c r="A3" s="1" t="s">
        <v>178</v>
      </c>
      <c r="B3" s="1" t="s">
        <v>56</v>
      </c>
      <c r="C3" s="1" t="s">
        <v>177</v>
      </c>
      <c r="E3" s="84" t="s">
        <v>182</v>
      </c>
      <c r="F3" s="85">
        <f>('Cálculos NBR9062 2017'!B31-'Cálculos NBR9062 2017'!B40)/2</f>
        <v>4</v>
      </c>
    </row>
    <row r="4" spans="1:6" x14ac:dyDescent="0.25">
      <c r="A4" s="1">
        <v>1</v>
      </c>
      <c r="B4" s="1">
        <v>0</v>
      </c>
      <c r="C4" s="1">
        <v>0</v>
      </c>
    </row>
    <row r="5" spans="1:6" x14ac:dyDescent="0.25">
      <c r="A5" s="1">
        <v>2</v>
      </c>
      <c r="B5" s="1">
        <v>0</v>
      </c>
      <c r="C5" s="30">
        <f>'Cálculos NBR9062 2017'!B36</f>
        <v>41</v>
      </c>
    </row>
    <row r="6" spans="1:6" x14ac:dyDescent="0.25">
      <c r="A6" s="1">
        <v>3</v>
      </c>
      <c r="B6" s="30">
        <f>'Cálculos NBR9062 2017'!B31</f>
        <v>400</v>
      </c>
      <c r="C6" s="30">
        <f>C5</f>
        <v>41</v>
      </c>
    </row>
    <row r="7" spans="1:6" x14ac:dyDescent="0.25">
      <c r="A7" s="1">
        <v>4</v>
      </c>
      <c r="B7" s="30">
        <f>B6</f>
        <v>400</v>
      </c>
      <c r="C7" s="1">
        <v>0</v>
      </c>
    </row>
    <row r="8" spans="1:6" x14ac:dyDescent="0.25">
      <c r="A8" s="83">
        <v>5</v>
      </c>
      <c r="B8" s="1">
        <v>0</v>
      </c>
      <c r="C8" s="1">
        <v>0</v>
      </c>
    </row>
    <row r="10" spans="1:6" x14ac:dyDescent="0.25">
      <c r="A10" s="141" t="s">
        <v>180</v>
      </c>
      <c r="B10" s="141"/>
      <c r="C10" s="141"/>
      <c r="D10" t="s">
        <v>38</v>
      </c>
      <c r="E10" s="85">
        <f>'Cálculos NBR9062 2017'!B43-1</f>
        <v>2</v>
      </c>
    </row>
    <row r="11" spans="1:6" ht="15.75" thickBot="1" x14ac:dyDescent="0.3">
      <c r="A11" s="1" t="s">
        <v>178</v>
      </c>
      <c r="B11" s="80" t="s">
        <v>56</v>
      </c>
      <c r="C11" s="80" t="s">
        <v>177</v>
      </c>
      <c r="D11" s="1" t="s">
        <v>183</v>
      </c>
      <c r="E11" s="83" t="s">
        <v>184</v>
      </c>
    </row>
    <row r="12" spans="1:6" x14ac:dyDescent="0.25">
      <c r="A12" s="64">
        <v>1</v>
      </c>
      <c r="B12" s="87">
        <f>IF(E12=1,F3,0)</f>
        <v>4</v>
      </c>
      <c r="C12" s="88">
        <f>D12</f>
        <v>2.5</v>
      </c>
      <c r="D12" s="86">
        <f>'Cálculos NBR9062 2017'!B35</f>
        <v>2.5</v>
      </c>
      <c r="E12">
        <v>1</v>
      </c>
    </row>
    <row r="13" spans="1:6" x14ac:dyDescent="0.25">
      <c r="A13" s="64">
        <v>2</v>
      </c>
      <c r="B13" s="89">
        <f>IF(E13=1,B14,0)</f>
        <v>396</v>
      </c>
      <c r="C13" s="90">
        <f>IF(E13=1,C12,0)</f>
        <v>2.5</v>
      </c>
      <c r="D13" s="65">
        <f>IF(MOD(A13,5)=0,D12+'Cálculos NBR9062 2017'!$B$45*A13/6,D12)</f>
        <v>2.5</v>
      </c>
      <c r="E13">
        <f>IF(E12=0,0,IF(MOD(A12,5)=0,IF(A12/5&gt;$E$10,0,1),1))</f>
        <v>1</v>
      </c>
    </row>
    <row r="14" spans="1:6" x14ac:dyDescent="0.25">
      <c r="A14" s="64">
        <v>3</v>
      </c>
      <c r="B14" s="89">
        <f>IF(E14=1,B12+'Cálculos NBR9062 2017'!$B$40,0)</f>
        <v>396</v>
      </c>
      <c r="C14" s="91">
        <f>IF(E14=1,'Cálculos NBR9062 2017'!$B$44+C13,0)</f>
        <v>6.5</v>
      </c>
      <c r="D14" s="65">
        <f>IF(MOD(A14,5)=0,D13+'Cálculos NBR9062 2017'!$B$45*A14/6,D13)</f>
        <v>2.5</v>
      </c>
      <c r="E14">
        <f t="shared" ref="E14:E77" si="0">IF(E13=0,0,IF(MOD(A13,5)=0,IF(A13/5&gt;$E$10,0,1),1))</f>
        <v>1</v>
      </c>
    </row>
    <row r="15" spans="1:6" x14ac:dyDescent="0.25">
      <c r="A15" s="64">
        <v>4</v>
      </c>
      <c r="B15" s="92">
        <f>IF(E15=1,B12,0)</f>
        <v>4</v>
      </c>
      <c r="C15" s="91">
        <f>IF(E15=1,C14,0)</f>
        <v>6.5</v>
      </c>
      <c r="D15" s="65">
        <f>IF(MOD(A15,5)=0,D14+'Cálculos NBR9062 2017'!$B$45*A15/6,D14)</f>
        <v>2.5</v>
      </c>
      <c r="E15">
        <f t="shared" si="0"/>
        <v>1</v>
      </c>
    </row>
    <row r="16" spans="1:6" ht="15.75" thickBot="1" x14ac:dyDescent="0.3">
      <c r="A16" s="64">
        <v>5</v>
      </c>
      <c r="B16" s="93">
        <f>IF(E16=1,B12,0)</f>
        <v>4</v>
      </c>
      <c r="C16" s="94">
        <f>IF(E16=1,C12,0)</f>
        <v>2.5</v>
      </c>
      <c r="D16" s="65">
        <f>IF(MOD(A16,5)=0,D15+('Cálculos NBR9062 2017'!$B$45+'Cálculos NBR9062 2017'!$B$44)*A16/5,D15)</f>
        <v>18.5</v>
      </c>
      <c r="E16">
        <f t="shared" si="0"/>
        <v>1</v>
      </c>
    </row>
    <row r="17" spans="1:5" x14ac:dyDescent="0.25">
      <c r="A17" s="64">
        <v>6</v>
      </c>
      <c r="B17" s="87">
        <f>B12</f>
        <v>4</v>
      </c>
      <c r="C17" s="88">
        <f>D17</f>
        <v>18.5</v>
      </c>
      <c r="D17" s="65">
        <f>IF(MOD(A17,5)=0,D16+('Cálculos NBR9062 2017'!$B$45+'Cálculos NBR9062 2017'!$B$44)*A17/5,D16)</f>
        <v>18.5</v>
      </c>
      <c r="E17">
        <f t="shared" si="0"/>
        <v>1</v>
      </c>
    </row>
    <row r="18" spans="1:5" x14ac:dyDescent="0.25">
      <c r="A18" s="84">
        <v>7</v>
      </c>
      <c r="B18" s="89">
        <f>IF(E18=1,B19,0)</f>
        <v>396</v>
      </c>
      <c r="C18" s="90">
        <f>IF(E18=1,C17,0)</f>
        <v>18.5</v>
      </c>
      <c r="D18" s="65">
        <f>IF(MOD(A18,5)=0,D17+('Cálculos NBR9062 2017'!$B$45+'Cálculos NBR9062 2017'!$B$44)*A18/5,D17)</f>
        <v>18.5</v>
      </c>
      <c r="E18">
        <f t="shared" si="0"/>
        <v>1</v>
      </c>
    </row>
    <row r="19" spans="1:5" x14ac:dyDescent="0.25">
      <c r="A19" s="84">
        <v>8</v>
      </c>
      <c r="B19" s="89">
        <f>IF(E19=1,B17+'Cálculos NBR9062 2017'!$B$40,0)</f>
        <v>396</v>
      </c>
      <c r="C19" s="91">
        <f>IF(E19=1,'Cálculos NBR9062 2017'!$B$44+C18,0)</f>
        <v>22.5</v>
      </c>
      <c r="D19" s="65">
        <f>IF(MOD(A19,5)=0,D18+('Cálculos NBR9062 2017'!$B$45+'Cálculos NBR9062 2017'!$B$44)*A19/5,D18)</f>
        <v>18.5</v>
      </c>
      <c r="E19">
        <f t="shared" si="0"/>
        <v>1</v>
      </c>
    </row>
    <row r="20" spans="1:5" x14ac:dyDescent="0.25">
      <c r="A20" s="84">
        <v>9</v>
      </c>
      <c r="B20" s="92">
        <f>IF(E20=1,B17,0)</f>
        <v>4</v>
      </c>
      <c r="C20" s="91">
        <f>IF(E20=1,C19,0)</f>
        <v>22.5</v>
      </c>
      <c r="D20" s="65">
        <f>IF(MOD(A20,5)=0,D19+('Cálculos NBR9062 2017'!$B$45+'Cálculos NBR9062 2017'!$B$44)*A20/5,D19)</f>
        <v>18.5</v>
      </c>
      <c r="E20">
        <f t="shared" si="0"/>
        <v>1</v>
      </c>
    </row>
    <row r="21" spans="1:5" ht="15.75" thickBot="1" x14ac:dyDescent="0.3">
      <c r="A21" s="84">
        <v>10</v>
      </c>
      <c r="B21" s="93">
        <f>IF(E21=1,B17,0)</f>
        <v>4</v>
      </c>
      <c r="C21" s="94">
        <f>IF(E21=1,C17,0)</f>
        <v>18.5</v>
      </c>
      <c r="D21" s="65">
        <f>IF(MOD(A21,5)=0,D20+('Cálculos NBR9062 2017'!$B$45+'Cálculos NBR9062 2017'!$B$44),D20)</f>
        <v>34.5</v>
      </c>
      <c r="E21">
        <f t="shared" si="0"/>
        <v>1</v>
      </c>
    </row>
    <row r="22" spans="1:5" x14ac:dyDescent="0.25">
      <c r="A22" s="1">
        <v>11</v>
      </c>
      <c r="B22" s="87">
        <f>IF(E22=1,B17,0)</f>
        <v>4</v>
      </c>
      <c r="C22" s="88">
        <f>IF(E22=1,D22,0)</f>
        <v>34.5</v>
      </c>
      <c r="D22" s="65">
        <f>IF(MOD(A22,5)=0,D21+('Cálculos NBR9062 2017'!$B$45+'Cálculos NBR9062 2017'!$B$44),D21)</f>
        <v>34.5</v>
      </c>
      <c r="E22">
        <f t="shared" si="0"/>
        <v>1</v>
      </c>
    </row>
    <row r="23" spans="1:5" x14ac:dyDescent="0.25">
      <c r="A23" s="1">
        <v>12</v>
      </c>
      <c r="B23" s="89">
        <f>IF(E23=1,B24,0)</f>
        <v>396</v>
      </c>
      <c r="C23" s="90">
        <f>IF(E23=1,C22,0)</f>
        <v>34.5</v>
      </c>
      <c r="D23" s="65">
        <f>IF(MOD(A23,5)=0,D22+('Cálculos NBR9062 2017'!$B$45+'Cálculos NBR9062 2017'!$B$44),D22)</f>
        <v>34.5</v>
      </c>
      <c r="E23">
        <f t="shared" si="0"/>
        <v>1</v>
      </c>
    </row>
    <row r="24" spans="1:5" x14ac:dyDescent="0.25">
      <c r="A24" s="1">
        <v>13</v>
      </c>
      <c r="B24" s="89">
        <f>IF(E24=1,B22+'Cálculos NBR9062 2017'!$B$40,0)</f>
        <v>396</v>
      </c>
      <c r="C24" s="91">
        <f>IF(E24=1,'Cálculos NBR9062 2017'!$B$44+C23,0)</f>
        <v>38.5</v>
      </c>
      <c r="D24" s="65">
        <f>IF(MOD(A24,5)=0,D23+('Cálculos NBR9062 2017'!$B$45+'Cálculos NBR9062 2017'!$B$44),D23)</f>
        <v>34.5</v>
      </c>
      <c r="E24">
        <f t="shared" si="0"/>
        <v>1</v>
      </c>
    </row>
    <row r="25" spans="1:5" x14ac:dyDescent="0.25">
      <c r="A25" s="1">
        <v>14</v>
      </c>
      <c r="B25" s="92">
        <f>IF(E25=1,B22,0)</f>
        <v>4</v>
      </c>
      <c r="C25" s="91">
        <f>IF(E25=1,C24,0)</f>
        <v>38.5</v>
      </c>
      <c r="D25" s="65">
        <f>IF(MOD(A25,5)=0,D24+('Cálculos NBR9062 2017'!$B$45+'Cálculos NBR9062 2017'!$B$44),D24)</f>
        <v>34.5</v>
      </c>
      <c r="E25">
        <f t="shared" si="0"/>
        <v>1</v>
      </c>
    </row>
    <row r="26" spans="1:5" ht="15.75" thickBot="1" x14ac:dyDescent="0.3">
      <c r="A26" s="1">
        <v>15</v>
      </c>
      <c r="B26" s="93">
        <f>IF(E26=1,B22,0)</f>
        <v>4</v>
      </c>
      <c r="C26" s="94">
        <f>IF(E26=1,C22,0)</f>
        <v>34.5</v>
      </c>
      <c r="D26" s="65">
        <f>IF(MOD(A26,5)=0,D25+('Cálculos NBR9062 2017'!$B$45+'Cálculos NBR9062 2017'!$B$44),D25)</f>
        <v>50.5</v>
      </c>
      <c r="E26">
        <f t="shared" si="0"/>
        <v>1</v>
      </c>
    </row>
    <row r="27" spans="1:5" x14ac:dyDescent="0.25">
      <c r="A27" s="1">
        <v>16</v>
      </c>
      <c r="B27" s="87">
        <f>IF(E27=1,B22,0)</f>
        <v>0</v>
      </c>
      <c r="C27" s="88">
        <f>IF(E27=1,D27,0)</f>
        <v>0</v>
      </c>
      <c r="D27" s="65">
        <f>IF(MOD(A27,5)=0,D26+('Cálculos NBR9062 2017'!$B$45+'Cálculos NBR9062 2017'!$B$44),D26)</f>
        <v>50.5</v>
      </c>
      <c r="E27">
        <f t="shared" si="0"/>
        <v>0</v>
      </c>
    </row>
    <row r="28" spans="1:5" x14ac:dyDescent="0.25">
      <c r="A28" s="83">
        <v>17</v>
      </c>
      <c r="B28" s="89">
        <f>IF(E28=1,B29,0)</f>
        <v>0</v>
      </c>
      <c r="C28" s="90">
        <f>IF(E28=1,C27,0)</f>
        <v>0</v>
      </c>
      <c r="D28" s="65">
        <f>IF(MOD(A28,5)=0,D27+('Cálculos NBR9062 2017'!$B$45+'Cálculos NBR9062 2017'!$B$44),D27)</f>
        <v>50.5</v>
      </c>
      <c r="E28">
        <f t="shared" si="0"/>
        <v>0</v>
      </c>
    </row>
    <row r="29" spans="1:5" x14ac:dyDescent="0.25">
      <c r="A29" s="83">
        <v>18</v>
      </c>
      <c r="B29" s="89">
        <f>IF(E29=1,B27+'Cálculos NBR9062 2017'!$B$40,0)</f>
        <v>0</v>
      </c>
      <c r="C29" s="91">
        <f>IF(E29=1,'Cálculos NBR9062 2017'!$B$44+C28,0)</f>
        <v>0</v>
      </c>
      <c r="D29" s="65">
        <f>IF(MOD(A29,5)=0,D28+('Cálculos NBR9062 2017'!$B$45+'Cálculos NBR9062 2017'!$B$44),D28)</f>
        <v>50.5</v>
      </c>
      <c r="E29">
        <f t="shared" si="0"/>
        <v>0</v>
      </c>
    </row>
    <row r="30" spans="1:5" x14ac:dyDescent="0.25">
      <c r="A30" s="83">
        <v>19</v>
      </c>
      <c r="B30" s="92">
        <f>IF(E30=1,B27,0)</f>
        <v>0</v>
      </c>
      <c r="C30" s="91">
        <f>IF(E30=1,C29,0)</f>
        <v>0</v>
      </c>
      <c r="D30" s="65">
        <f>IF(MOD(A30,5)=0,D29+('Cálculos NBR9062 2017'!$B$45+'Cálculos NBR9062 2017'!$B$44),D29)</f>
        <v>50.5</v>
      </c>
      <c r="E30">
        <f t="shared" si="0"/>
        <v>0</v>
      </c>
    </row>
    <row r="31" spans="1:5" ht="15.75" thickBot="1" x14ac:dyDescent="0.3">
      <c r="A31" s="83">
        <v>20</v>
      </c>
      <c r="B31" s="93">
        <f>IF(E31=1,B27,0)</f>
        <v>0</v>
      </c>
      <c r="C31" s="94">
        <f>IF(E31=1,C27,0)</f>
        <v>0</v>
      </c>
      <c r="D31" s="65">
        <f>IF(MOD(A31,5)=0,D30+('Cálculos NBR9062 2017'!$B$45+'Cálculos NBR9062 2017'!$B$44),D30)</f>
        <v>66.5</v>
      </c>
      <c r="E31">
        <f t="shared" si="0"/>
        <v>0</v>
      </c>
    </row>
    <row r="32" spans="1:5" x14ac:dyDescent="0.25">
      <c r="A32" s="1">
        <v>21</v>
      </c>
      <c r="B32" s="87">
        <f>IF(E32=1,B27,0)</f>
        <v>0</v>
      </c>
      <c r="C32" s="88">
        <f>IF(E32=1,D32,0)</f>
        <v>0</v>
      </c>
      <c r="D32" s="65">
        <f>IF(MOD(A32,5)=0,D31+('Cálculos NBR9062 2017'!$B$45+'Cálculos NBR9062 2017'!$B$44),D31)</f>
        <v>66.5</v>
      </c>
      <c r="E32">
        <f t="shared" si="0"/>
        <v>0</v>
      </c>
    </row>
    <row r="33" spans="1:5" x14ac:dyDescent="0.25">
      <c r="A33" s="1">
        <v>22</v>
      </c>
      <c r="B33" s="89">
        <f>IF(E33=1,B34,0)</f>
        <v>0</v>
      </c>
      <c r="C33" s="90">
        <f>IF(E33=1,C32,0)</f>
        <v>0</v>
      </c>
      <c r="D33" s="65">
        <f>IF(MOD(A33,5)=0,D32+('Cálculos NBR9062 2017'!$B$45+'Cálculos NBR9062 2017'!$B$44),D32)</f>
        <v>66.5</v>
      </c>
      <c r="E33">
        <f t="shared" si="0"/>
        <v>0</v>
      </c>
    </row>
    <row r="34" spans="1:5" x14ac:dyDescent="0.25">
      <c r="A34" s="1">
        <v>23</v>
      </c>
      <c r="B34" s="89">
        <f>IF(E34=1,B32+'Cálculos NBR9062 2017'!$B$40,0)</f>
        <v>0</v>
      </c>
      <c r="C34" s="91">
        <f>IF(E34=1,'Cálculos NBR9062 2017'!$B$44+C33,0)</f>
        <v>0</v>
      </c>
      <c r="D34" s="65">
        <f>IF(MOD(A34,5)=0,D33+('Cálculos NBR9062 2017'!$B$45+'Cálculos NBR9062 2017'!$B$44),D33)</f>
        <v>66.5</v>
      </c>
      <c r="E34">
        <f t="shared" si="0"/>
        <v>0</v>
      </c>
    </row>
    <row r="35" spans="1:5" x14ac:dyDescent="0.25">
      <c r="A35" s="1">
        <v>24</v>
      </c>
      <c r="B35" s="92">
        <f>IF(E35=1,B32,0)</f>
        <v>0</v>
      </c>
      <c r="C35" s="91">
        <f>IF(E35=1,C34,0)</f>
        <v>0</v>
      </c>
      <c r="D35" s="65">
        <f>IF(MOD(A35,5)=0,D34+('Cálculos NBR9062 2017'!$B$45+'Cálculos NBR9062 2017'!$B$44),D34)</f>
        <v>66.5</v>
      </c>
      <c r="E35">
        <f t="shared" si="0"/>
        <v>0</v>
      </c>
    </row>
    <row r="36" spans="1:5" ht="15.75" thickBot="1" x14ac:dyDescent="0.3">
      <c r="A36" s="1">
        <v>25</v>
      </c>
      <c r="B36" s="93">
        <f>IF(E36=1,B32,0)</f>
        <v>0</v>
      </c>
      <c r="C36" s="94">
        <f>IF(E36=1,C32,0)</f>
        <v>0</v>
      </c>
      <c r="D36" s="65">
        <f>IF(MOD(A36,5)=0,D35+('Cálculos NBR9062 2017'!$B$45+'Cálculos NBR9062 2017'!$B$44),D35)</f>
        <v>82.5</v>
      </c>
      <c r="E36">
        <f t="shared" si="0"/>
        <v>0</v>
      </c>
    </row>
    <row r="37" spans="1:5" x14ac:dyDescent="0.25">
      <c r="A37" s="1">
        <v>26</v>
      </c>
      <c r="B37" s="87">
        <f>IF(E37=1,B32,0)</f>
        <v>0</v>
      </c>
      <c r="C37" s="88">
        <f>IF(E37=1,D37,0)</f>
        <v>0</v>
      </c>
      <c r="D37" s="65">
        <f>IF(MOD(A37,5)=0,D36+('Cálculos NBR9062 2017'!$B$45+'Cálculos NBR9062 2017'!$B$44),D36)</f>
        <v>82.5</v>
      </c>
      <c r="E37">
        <f t="shared" si="0"/>
        <v>0</v>
      </c>
    </row>
    <row r="38" spans="1:5" x14ac:dyDescent="0.25">
      <c r="A38" s="83">
        <v>27</v>
      </c>
      <c r="B38" s="89">
        <f>IF(E38=1,B39,0)</f>
        <v>0</v>
      </c>
      <c r="C38" s="90">
        <f>IF(E38=1,C37,0)</f>
        <v>0</v>
      </c>
      <c r="D38" s="65">
        <f>IF(MOD(A38,5)=0,D37+('Cálculos NBR9062 2017'!$B$45+'Cálculos NBR9062 2017'!$B$44),D37)</f>
        <v>82.5</v>
      </c>
      <c r="E38">
        <f t="shared" si="0"/>
        <v>0</v>
      </c>
    </row>
    <row r="39" spans="1:5" x14ac:dyDescent="0.25">
      <c r="A39" s="83">
        <v>28</v>
      </c>
      <c r="B39" s="89">
        <f>IF(E39=1,B37+'Cálculos NBR9062 2017'!$B$40,0)</f>
        <v>0</v>
      </c>
      <c r="C39" s="91">
        <f>IF(E39=1,'Cálculos NBR9062 2017'!$B$44+C38,0)</f>
        <v>0</v>
      </c>
      <c r="D39" s="65">
        <f>IF(MOD(A39,5)=0,D38+('Cálculos NBR9062 2017'!$B$45+'Cálculos NBR9062 2017'!$B$44),D38)</f>
        <v>82.5</v>
      </c>
      <c r="E39">
        <f t="shared" si="0"/>
        <v>0</v>
      </c>
    </row>
    <row r="40" spans="1:5" x14ac:dyDescent="0.25">
      <c r="A40" s="83">
        <v>29</v>
      </c>
      <c r="B40" s="92">
        <f>IF(E40=1,B37,0)</f>
        <v>0</v>
      </c>
      <c r="C40" s="91">
        <f>IF(E40=1,C39,0)</f>
        <v>0</v>
      </c>
      <c r="D40" s="65">
        <f>IF(MOD(A40,5)=0,D39+('Cálculos NBR9062 2017'!$B$45+'Cálculos NBR9062 2017'!$B$44),D39)</f>
        <v>82.5</v>
      </c>
      <c r="E40">
        <f t="shared" si="0"/>
        <v>0</v>
      </c>
    </row>
    <row r="41" spans="1:5" ht="15.75" thickBot="1" x14ac:dyDescent="0.3">
      <c r="A41" s="83">
        <v>30</v>
      </c>
      <c r="B41" s="93">
        <f>IF(E41=1,B37,0)</f>
        <v>0</v>
      </c>
      <c r="C41" s="94">
        <f>IF(E41=1,C37,0)</f>
        <v>0</v>
      </c>
      <c r="D41" s="65">
        <f>IF(MOD(A41,5)=0,D40+('Cálculos NBR9062 2017'!$B$45+'Cálculos NBR9062 2017'!$B$44),D40)</f>
        <v>98.5</v>
      </c>
      <c r="E41">
        <f t="shared" si="0"/>
        <v>0</v>
      </c>
    </row>
    <row r="42" spans="1:5" x14ac:dyDescent="0.25">
      <c r="A42" s="1">
        <v>31</v>
      </c>
      <c r="B42" s="87">
        <f>IF(E42=1,B37,0)</f>
        <v>0</v>
      </c>
      <c r="C42" s="88">
        <f>IF(E42=1,D42,0)</f>
        <v>0</v>
      </c>
      <c r="D42" s="65">
        <f>IF(MOD(A42,5)=0,D41+('Cálculos NBR9062 2017'!$B$45+'Cálculos NBR9062 2017'!$B$44),D41)</f>
        <v>98.5</v>
      </c>
      <c r="E42">
        <f t="shared" si="0"/>
        <v>0</v>
      </c>
    </row>
    <row r="43" spans="1:5" x14ac:dyDescent="0.25">
      <c r="A43" s="1">
        <v>32</v>
      </c>
      <c r="B43" s="89">
        <f>IF(E43=1,B44,0)</f>
        <v>0</v>
      </c>
      <c r="C43" s="90">
        <f>IF(E43=1,C42,0)</f>
        <v>0</v>
      </c>
      <c r="D43" s="65">
        <f>IF(MOD(A43,5)=0,D42+('Cálculos NBR9062 2017'!$B$45+'Cálculos NBR9062 2017'!$B$44),D42)</f>
        <v>98.5</v>
      </c>
      <c r="E43">
        <f t="shared" si="0"/>
        <v>0</v>
      </c>
    </row>
    <row r="44" spans="1:5" x14ac:dyDescent="0.25">
      <c r="A44" s="1">
        <v>33</v>
      </c>
      <c r="B44" s="89">
        <f>IF(E44=1,B42+'Cálculos NBR9062 2017'!$B$40,0)</f>
        <v>0</v>
      </c>
      <c r="C44" s="91">
        <f>IF(E44=1,'Cálculos NBR9062 2017'!$B$44+C43,0)</f>
        <v>0</v>
      </c>
      <c r="D44" s="65">
        <f>IF(MOD(A44,5)=0,D43+('Cálculos NBR9062 2017'!$B$45+'Cálculos NBR9062 2017'!$B$44),D43)</f>
        <v>98.5</v>
      </c>
      <c r="E44">
        <f t="shared" si="0"/>
        <v>0</v>
      </c>
    </row>
    <row r="45" spans="1:5" x14ac:dyDescent="0.25">
      <c r="A45" s="1">
        <v>34</v>
      </c>
      <c r="B45" s="92">
        <f>IF(E45=1,B42,0)</f>
        <v>0</v>
      </c>
      <c r="C45" s="91">
        <f>IF(E45=1,C44,0)</f>
        <v>0</v>
      </c>
      <c r="D45" s="65">
        <f>IF(MOD(A45,5)=0,D44+('Cálculos NBR9062 2017'!$B$45+'Cálculos NBR9062 2017'!$B$44),D44)</f>
        <v>98.5</v>
      </c>
      <c r="E45">
        <f t="shared" si="0"/>
        <v>0</v>
      </c>
    </row>
    <row r="46" spans="1:5" ht="15.75" thickBot="1" x14ac:dyDescent="0.3">
      <c r="A46" s="1">
        <v>35</v>
      </c>
      <c r="B46" s="93">
        <f>IF(E46=1,B42,0)</f>
        <v>0</v>
      </c>
      <c r="C46" s="94">
        <f>IF(E46=1,C42,0)</f>
        <v>0</v>
      </c>
      <c r="D46" s="65">
        <f>IF(MOD(A46,5)=0,D45+('Cálculos NBR9062 2017'!$B$45+'Cálculos NBR9062 2017'!$B$44),D45)</f>
        <v>114.5</v>
      </c>
      <c r="E46">
        <f t="shared" si="0"/>
        <v>0</v>
      </c>
    </row>
    <row r="47" spans="1:5" x14ac:dyDescent="0.25">
      <c r="A47" s="1">
        <v>36</v>
      </c>
      <c r="B47" s="87">
        <f>IF(E47=1,B42,0)</f>
        <v>0</v>
      </c>
      <c r="C47" s="88">
        <f>IF(E47=1,D47,0)</f>
        <v>0</v>
      </c>
      <c r="D47" s="65">
        <f>IF(MOD(A47,5)=0,D46+('Cálculos NBR9062 2017'!$B$45+'Cálculos NBR9062 2017'!$B$44),D46)</f>
        <v>114.5</v>
      </c>
      <c r="E47">
        <f t="shared" si="0"/>
        <v>0</v>
      </c>
    </row>
    <row r="48" spans="1:5" x14ac:dyDescent="0.25">
      <c r="A48" s="83">
        <v>37</v>
      </c>
      <c r="B48" s="89">
        <f>IF(E48=1,B49,0)</f>
        <v>0</v>
      </c>
      <c r="C48" s="90">
        <f>IF(E48=1,C47,0)</f>
        <v>0</v>
      </c>
      <c r="D48" s="65">
        <f>IF(MOD(A48,5)=0,D47+('Cálculos NBR9062 2017'!$B$45+'Cálculos NBR9062 2017'!$B$44),D47)</f>
        <v>114.5</v>
      </c>
      <c r="E48">
        <f t="shared" si="0"/>
        <v>0</v>
      </c>
    </row>
    <row r="49" spans="1:5" x14ac:dyDescent="0.25">
      <c r="A49" s="83">
        <v>38</v>
      </c>
      <c r="B49" s="89">
        <f>IF(E49=1,B47+'Cálculos NBR9062 2017'!$B$40,0)</f>
        <v>0</v>
      </c>
      <c r="C49" s="91">
        <f>IF(E49=1,'Cálculos NBR9062 2017'!$B$44+C48,0)</f>
        <v>0</v>
      </c>
      <c r="D49" s="65">
        <f>IF(MOD(A49,5)=0,D48+('Cálculos NBR9062 2017'!$B$45+'Cálculos NBR9062 2017'!$B$44),D48)</f>
        <v>114.5</v>
      </c>
      <c r="E49">
        <f t="shared" si="0"/>
        <v>0</v>
      </c>
    </row>
    <row r="50" spans="1:5" x14ac:dyDescent="0.25">
      <c r="A50" s="83">
        <v>39</v>
      </c>
      <c r="B50" s="92">
        <f>IF(E50=1,B47,0)</f>
        <v>0</v>
      </c>
      <c r="C50" s="91">
        <f>IF(E50=1,C49,0)</f>
        <v>0</v>
      </c>
      <c r="D50" s="65">
        <f>IF(MOD(A50,5)=0,D49+('Cálculos NBR9062 2017'!$B$45+'Cálculos NBR9062 2017'!$B$44),D49)</f>
        <v>114.5</v>
      </c>
      <c r="E50">
        <f t="shared" si="0"/>
        <v>0</v>
      </c>
    </row>
    <row r="51" spans="1:5" ht="15.75" thickBot="1" x14ac:dyDescent="0.3">
      <c r="A51" s="83">
        <v>40</v>
      </c>
      <c r="B51" s="93">
        <f>IF(E51=1,B47,0)</f>
        <v>0</v>
      </c>
      <c r="C51" s="94">
        <f>IF(E51=1,C47,0)</f>
        <v>0</v>
      </c>
      <c r="D51" s="65">
        <f>IF(MOD(A51,5)=0,D50+('Cálculos NBR9062 2017'!$B$45+'Cálculos NBR9062 2017'!$B$44),D50)</f>
        <v>130.5</v>
      </c>
      <c r="E51">
        <f t="shared" si="0"/>
        <v>0</v>
      </c>
    </row>
    <row r="52" spans="1:5" x14ac:dyDescent="0.25">
      <c r="A52" s="1">
        <v>41</v>
      </c>
      <c r="D52" s="65">
        <f>IF(MOD(A52,5)=0,D51+('Cálculos NBR9062 2017'!$B$45+'Cálculos NBR9062 2017'!$B$44),D51)</f>
        <v>130.5</v>
      </c>
      <c r="E52">
        <f t="shared" si="0"/>
        <v>0</v>
      </c>
    </row>
    <row r="53" spans="1:5" x14ac:dyDescent="0.25">
      <c r="A53" s="1">
        <v>42</v>
      </c>
      <c r="D53" s="65">
        <f>IF(MOD(A53,5)=0,D52+('Cálculos NBR9062 2017'!$B$45+'Cálculos NBR9062 2017'!$B$44),D52)</f>
        <v>130.5</v>
      </c>
      <c r="E53">
        <f t="shared" si="0"/>
        <v>0</v>
      </c>
    </row>
    <row r="54" spans="1:5" x14ac:dyDescent="0.25">
      <c r="A54" s="1">
        <v>43</v>
      </c>
      <c r="D54" s="65">
        <f>IF(MOD(A54,5)=0,D53+('Cálculos NBR9062 2017'!$B$45+'Cálculos NBR9062 2017'!$B$44),D53)</f>
        <v>130.5</v>
      </c>
      <c r="E54">
        <f t="shared" si="0"/>
        <v>0</v>
      </c>
    </row>
    <row r="55" spans="1:5" x14ac:dyDescent="0.25">
      <c r="A55" s="1">
        <v>44</v>
      </c>
      <c r="D55" s="65">
        <f>IF(MOD(A55,5)=0,D54+('Cálculos NBR9062 2017'!$B$45+'Cálculos NBR9062 2017'!$B$44),D54)</f>
        <v>130.5</v>
      </c>
      <c r="E55">
        <f t="shared" si="0"/>
        <v>0</v>
      </c>
    </row>
    <row r="56" spans="1:5" x14ac:dyDescent="0.25">
      <c r="A56" s="1">
        <v>45</v>
      </c>
      <c r="D56" s="65">
        <f>IF(MOD(A56,5)=0,D55+('Cálculos NBR9062 2017'!$B$45+'Cálculos NBR9062 2017'!$B$44),D55)</f>
        <v>146.5</v>
      </c>
      <c r="E56">
        <f t="shared" si="0"/>
        <v>0</v>
      </c>
    </row>
    <row r="57" spans="1:5" x14ac:dyDescent="0.25">
      <c r="A57" s="1">
        <v>46</v>
      </c>
      <c r="D57" s="65">
        <f>IF(MOD(A57,5)=0,D56+('Cálculos NBR9062 2017'!$B$45+'Cálculos NBR9062 2017'!$B$44),D56)</f>
        <v>146.5</v>
      </c>
      <c r="E57">
        <f t="shared" si="0"/>
        <v>0</v>
      </c>
    </row>
    <row r="58" spans="1:5" x14ac:dyDescent="0.25">
      <c r="A58" s="83">
        <v>47</v>
      </c>
      <c r="D58" s="65">
        <f>IF(MOD(A58,5)=0,D57+('Cálculos NBR9062 2017'!$B$45+'Cálculos NBR9062 2017'!$B$44),D57)</f>
        <v>146.5</v>
      </c>
      <c r="E58">
        <f t="shared" si="0"/>
        <v>0</v>
      </c>
    </row>
    <row r="59" spans="1:5" x14ac:dyDescent="0.25">
      <c r="A59" s="83">
        <v>48</v>
      </c>
      <c r="D59" s="65">
        <f>IF(MOD(A59,5)=0,D58+('Cálculos NBR9062 2017'!$B$45+'Cálculos NBR9062 2017'!$B$44),D58)</f>
        <v>146.5</v>
      </c>
      <c r="E59">
        <f t="shared" si="0"/>
        <v>0</v>
      </c>
    </row>
    <row r="60" spans="1:5" x14ac:dyDescent="0.25">
      <c r="A60" s="83">
        <v>49</v>
      </c>
      <c r="D60" s="65">
        <f>IF(MOD(A60,5)=0,D59+('Cálculos NBR9062 2017'!$B$45+'Cálculos NBR9062 2017'!$B$44),D59)</f>
        <v>146.5</v>
      </c>
      <c r="E60">
        <f t="shared" si="0"/>
        <v>0</v>
      </c>
    </row>
    <row r="61" spans="1:5" x14ac:dyDescent="0.25">
      <c r="A61" s="83">
        <v>50</v>
      </c>
      <c r="D61" s="65">
        <f>IF(MOD(A61,5)=0,D60+('Cálculos NBR9062 2017'!$B$45+'Cálculos NBR9062 2017'!$B$44),D60)</f>
        <v>162.5</v>
      </c>
      <c r="E61">
        <f t="shared" si="0"/>
        <v>0</v>
      </c>
    </row>
    <row r="62" spans="1:5" x14ac:dyDescent="0.25">
      <c r="A62" s="1">
        <v>51</v>
      </c>
      <c r="D62" s="65">
        <f>IF(MOD(A62,5)=0,D61+('Cálculos NBR9062 2017'!$B$45+'Cálculos NBR9062 2017'!$B$44),D61)</f>
        <v>162.5</v>
      </c>
      <c r="E62">
        <f t="shared" si="0"/>
        <v>0</v>
      </c>
    </row>
    <row r="63" spans="1:5" x14ac:dyDescent="0.25">
      <c r="A63" s="1">
        <v>52</v>
      </c>
      <c r="D63" s="65">
        <f>IF(MOD(A63,5)=0,D62+('Cálculos NBR9062 2017'!$B$45+'Cálculos NBR9062 2017'!$B$44),D62)</f>
        <v>162.5</v>
      </c>
      <c r="E63">
        <f t="shared" si="0"/>
        <v>0</v>
      </c>
    </row>
    <row r="64" spans="1:5" x14ac:dyDescent="0.25">
      <c r="A64" s="1">
        <v>53</v>
      </c>
      <c r="D64" s="65">
        <f>IF(MOD(A64,5)=0,D63+('Cálculos NBR9062 2017'!$B$45+'Cálculos NBR9062 2017'!$B$44),D63)</f>
        <v>162.5</v>
      </c>
      <c r="E64">
        <f t="shared" si="0"/>
        <v>0</v>
      </c>
    </row>
    <row r="65" spans="1:5" x14ac:dyDescent="0.25">
      <c r="A65" s="1">
        <v>54</v>
      </c>
      <c r="D65" s="65">
        <f>IF(MOD(A65,5)=0,D64+('Cálculos NBR9062 2017'!$B$45+'Cálculos NBR9062 2017'!$B$44),D64)</f>
        <v>162.5</v>
      </c>
      <c r="E65">
        <f t="shared" si="0"/>
        <v>0</v>
      </c>
    </row>
    <row r="66" spans="1:5" x14ac:dyDescent="0.25">
      <c r="A66" s="1">
        <v>55</v>
      </c>
      <c r="D66" s="65">
        <f>IF(MOD(A66,5)=0,D65+('Cálculos NBR9062 2017'!$B$45+'Cálculos NBR9062 2017'!$B$44),D65)</f>
        <v>178.5</v>
      </c>
      <c r="E66">
        <f t="shared" si="0"/>
        <v>0</v>
      </c>
    </row>
    <row r="67" spans="1:5" x14ac:dyDescent="0.25">
      <c r="A67" s="1">
        <v>56</v>
      </c>
      <c r="D67" s="65">
        <f>IF(MOD(A67,5)=0,D66+('Cálculos NBR9062 2017'!$B$45+'Cálculos NBR9062 2017'!$B$44),D66)</f>
        <v>178.5</v>
      </c>
      <c r="E67">
        <f t="shared" si="0"/>
        <v>0</v>
      </c>
    </row>
    <row r="68" spans="1:5" x14ac:dyDescent="0.25">
      <c r="A68" s="83">
        <v>57</v>
      </c>
      <c r="D68" s="65">
        <f>IF(MOD(A68,5)=0,D67+('Cálculos NBR9062 2017'!$B$45+'Cálculos NBR9062 2017'!$B$44),D67)</f>
        <v>178.5</v>
      </c>
      <c r="E68">
        <f t="shared" si="0"/>
        <v>0</v>
      </c>
    </row>
    <row r="69" spans="1:5" x14ac:dyDescent="0.25">
      <c r="A69" s="83">
        <v>58</v>
      </c>
      <c r="D69" s="65">
        <f>IF(MOD(A69,5)=0,D68+('Cálculos NBR9062 2017'!$B$45+'Cálculos NBR9062 2017'!$B$44),D68)</f>
        <v>178.5</v>
      </c>
      <c r="E69">
        <f t="shared" si="0"/>
        <v>0</v>
      </c>
    </row>
    <row r="70" spans="1:5" x14ac:dyDescent="0.25">
      <c r="A70" s="83">
        <v>59</v>
      </c>
      <c r="D70" s="65">
        <f>IF(MOD(A70,5)=0,D69+('Cálculos NBR9062 2017'!$B$45+'Cálculos NBR9062 2017'!$B$44),D69)</f>
        <v>178.5</v>
      </c>
      <c r="E70">
        <f t="shared" si="0"/>
        <v>0</v>
      </c>
    </row>
    <row r="71" spans="1:5" x14ac:dyDescent="0.25">
      <c r="A71" s="83">
        <v>60</v>
      </c>
      <c r="D71" s="65">
        <f>IF(MOD(A71,5)=0,D70+('Cálculos NBR9062 2017'!$B$45+'Cálculos NBR9062 2017'!$B$44),D70)</f>
        <v>194.5</v>
      </c>
      <c r="E71">
        <f t="shared" si="0"/>
        <v>0</v>
      </c>
    </row>
    <row r="72" spans="1:5" x14ac:dyDescent="0.25">
      <c r="A72" s="1">
        <v>61</v>
      </c>
      <c r="D72" s="65">
        <f>IF(MOD(A72,5)=0,D71+('Cálculos NBR9062 2017'!$B$45+'Cálculos NBR9062 2017'!$B$44),D71)</f>
        <v>194.5</v>
      </c>
      <c r="E72">
        <f t="shared" si="0"/>
        <v>0</v>
      </c>
    </row>
    <row r="73" spans="1:5" x14ac:dyDescent="0.25">
      <c r="A73" s="1">
        <v>62</v>
      </c>
      <c r="D73" s="65">
        <f>IF(MOD(A73,5)=0,D72+('Cálculos NBR9062 2017'!$B$45+'Cálculos NBR9062 2017'!$B$44),D72)</f>
        <v>194.5</v>
      </c>
      <c r="E73">
        <f t="shared" si="0"/>
        <v>0</v>
      </c>
    </row>
    <row r="74" spans="1:5" x14ac:dyDescent="0.25">
      <c r="A74" s="1">
        <v>63</v>
      </c>
      <c r="D74" s="65">
        <f>IF(MOD(A74,5)=0,D73+('Cálculos NBR9062 2017'!$B$45+'Cálculos NBR9062 2017'!$B$44),D73)</f>
        <v>194.5</v>
      </c>
      <c r="E74">
        <f t="shared" si="0"/>
        <v>0</v>
      </c>
    </row>
    <row r="75" spans="1:5" x14ac:dyDescent="0.25">
      <c r="A75" s="1">
        <v>64</v>
      </c>
      <c r="D75" s="65">
        <f>IF(MOD(A75,5)=0,D74+('Cálculos NBR9062 2017'!$B$45+'Cálculos NBR9062 2017'!$B$44),D74)</f>
        <v>194.5</v>
      </c>
      <c r="E75">
        <f t="shared" si="0"/>
        <v>0</v>
      </c>
    </row>
    <row r="76" spans="1:5" x14ac:dyDescent="0.25">
      <c r="A76" s="1">
        <v>65</v>
      </c>
      <c r="D76" s="65">
        <f>IF(MOD(A76,5)=0,D75+('Cálculos NBR9062 2017'!$B$45+'Cálculos NBR9062 2017'!$B$44),D75)</f>
        <v>210.5</v>
      </c>
      <c r="E76">
        <f t="shared" si="0"/>
        <v>0</v>
      </c>
    </row>
    <row r="77" spans="1:5" x14ac:dyDescent="0.25">
      <c r="A77" s="1">
        <v>66</v>
      </c>
      <c r="D77" s="65">
        <f>IF(MOD(A77,5)=0,D76+('Cálculos NBR9062 2017'!$B$45+'Cálculos NBR9062 2017'!$B$44),D76)</f>
        <v>210.5</v>
      </c>
      <c r="E77">
        <f t="shared" si="0"/>
        <v>0</v>
      </c>
    </row>
    <row r="78" spans="1:5" x14ac:dyDescent="0.25">
      <c r="A78" s="83">
        <v>67</v>
      </c>
      <c r="D78" s="65">
        <f>IF(MOD(A78,5)=0,D77+('Cálculos NBR9062 2017'!$B$45+'Cálculos NBR9062 2017'!$B$44),D77)</f>
        <v>210.5</v>
      </c>
      <c r="E78">
        <f t="shared" ref="E78:E141" si="1">IF(E77=0,0,IF(MOD(A77,5)=0,IF(A77/5&gt;$E$10,0,1),1))</f>
        <v>0</v>
      </c>
    </row>
    <row r="79" spans="1:5" x14ac:dyDescent="0.25">
      <c r="A79" s="83">
        <v>68</v>
      </c>
      <c r="D79" s="65">
        <f>IF(MOD(A79,5)=0,D78+('Cálculos NBR9062 2017'!$B$45+'Cálculos NBR9062 2017'!$B$44),D78)</f>
        <v>210.5</v>
      </c>
      <c r="E79">
        <f t="shared" si="1"/>
        <v>0</v>
      </c>
    </row>
    <row r="80" spans="1:5" x14ac:dyDescent="0.25">
      <c r="A80" s="83">
        <v>69</v>
      </c>
      <c r="D80" s="65">
        <f>IF(MOD(A80,5)=0,D79+('Cálculos NBR9062 2017'!$B$45+'Cálculos NBR9062 2017'!$B$44),D79)</f>
        <v>210.5</v>
      </c>
      <c r="E80">
        <f t="shared" si="1"/>
        <v>0</v>
      </c>
    </row>
    <row r="81" spans="1:5" x14ac:dyDescent="0.25">
      <c r="A81" s="83">
        <v>70</v>
      </c>
      <c r="D81" s="65">
        <f>IF(MOD(A81,5)=0,D80+('Cálculos NBR9062 2017'!$B$45+'Cálculos NBR9062 2017'!$B$44),D80)</f>
        <v>226.5</v>
      </c>
      <c r="E81">
        <f t="shared" si="1"/>
        <v>0</v>
      </c>
    </row>
    <row r="82" spans="1:5" x14ac:dyDescent="0.25">
      <c r="A82" s="1">
        <v>71</v>
      </c>
      <c r="D82" s="65">
        <f>IF(MOD(A82,5)=0,D81+('Cálculos NBR9062 2017'!$B$45+'Cálculos NBR9062 2017'!$B$44),D81)</f>
        <v>226.5</v>
      </c>
      <c r="E82">
        <f t="shared" si="1"/>
        <v>0</v>
      </c>
    </row>
    <row r="83" spans="1:5" x14ac:dyDescent="0.25">
      <c r="A83" s="1">
        <v>72</v>
      </c>
      <c r="D83" s="65">
        <f>IF(MOD(A83,5)=0,D82+('Cálculos NBR9062 2017'!$B$45+'Cálculos NBR9062 2017'!$B$44),D82)</f>
        <v>226.5</v>
      </c>
      <c r="E83">
        <f t="shared" si="1"/>
        <v>0</v>
      </c>
    </row>
    <row r="84" spans="1:5" x14ac:dyDescent="0.25">
      <c r="A84" s="1">
        <v>73</v>
      </c>
      <c r="D84" s="65">
        <f>IF(MOD(A84,5)=0,D83+('Cálculos NBR9062 2017'!$B$45+'Cálculos NBR9062 2017'!$B$44),D83)</f>
        <v>226.5</v>
      </c>
      <c r="E84">
        <f t="shared" si="1"/>
        <v>0</v>
      </c>
    </row>
    <row r="85" spans="1:5" x14ac:dyDescent="0.25">
      <c r="A85" s="1">
        <v>74</v>
      </c>
      <c r="D85" s="65">
        <f>IF(MOD(A85,5)=0,D84+('Cálculos NBR9062 2017'!$B$45+'Cálculos NBR9062 2017'!$B$44),D84)</f>
        <v>226.5</v>
      </c>
      <c r="E85">
        <f t="shared" si="1"/>
        <v>0</v>
      </c>
    </row>
    <row r="86" spans="1:5" x14ac:dyDescent="0.25">
      <c r="A86" s="1">
        <v>75</v>
      </c>
      <c r="D86" s="65">
        <f>IF(MOD(A86,5)=0,D85+('Cálculos NBR9062 2017'!$B$45+'Cálculos NBR9062 2017'!$B$44),D85)</f>
        <v>242.5</v>
      </c>
      <c r="E86">
        <f t="shared" si="1"/>
        <v>0</v>
      </c>
    </row>
    <row r="87" spans="1:5" x14ac:dyDescent="0.25">
      <c r="A87" s="1">
        <v>76</v>
      </c>
      <c r="D87" s="65">
        <f>IF(MOD(A87,5)=0,D86+('Cálculos NBR9062 2017'!$B$45+'Cálculos NBR9062 2017'!$B$44),D86)</f>
        <v>242.5</v>
      </c>
      <c r="E87">
        <f t="shared" si="1"/>
        <v>0</v>
      </c>
    </row>
    <row r="88" spans="1:5" x14ac:dyDescent="0.25">
      <c r="A88" s="83">
        <v>77</v>
      </c>
      <c r="D88" s="65">
        <f>IF(MOD(A88,5)=0,D87+('Cálculos NBR9062 2017'!$B$45+'Cálculos NBR9062 2017'!$B$44),D87)</f>
        <v>242.5</v>
      </c>
      <c r="E88">
        <f t="shared" si="1"/>
        <v>0</v>
      </c>
    </row>
    <row r="89" spans="1:5" x14ac:dyDescent="0.25">
      <c r="A89" s="83">
        <v>78</v>
      </c>
      <c r="D89" s="65">
        <f>IF(MOD(A89,5)=0,D88+('Cálculos NBR9062 2017'!$B$45+'Cálculos NBR9062 2017'!$B$44),D88)</f>
        <v>242.5</v>
      </c>
      <c r="E89">
        <f t="shared" si="1"/>
        <v>0</v>
      </c>
    </row>
    <row r="90" spans="1:5" x14ac:dyDescent="0.25">
      <c r="A90" s="83">
        <v>79</v>
      </c>
      <c r="D90" s="65">
        <f>IF(MOD(A90,5)=0,D89+('Cálculos NBR9062 2017'!$B$45+'Cálculos NBR9062 2017'!$B$44),D89)</f>
        <v>242.5</v>
      </c>
      <c r="E90">
        <f t="shared" si="1"/>
        <v>0</v>
      </c>
    </row>
    <row r="91" spans="1:5" x14ac:dyDescent="0.25">
      <c r="A91" s="83">
        <v>80</v>
      </c>
      <c r="D91" s="65">
        <f>IF(MOD(A91,5)=0,D90+('Cálculos NBR9062 2017'!$B$45+'Cálculos NBR9062 2017'!$B$44),D90)</f>
        <v>258.5</v>
      </c>
      <c r="E91">
        <f t="shared" si="1"/>
        <v>0</v>
      </c>
    </row>
    <row r="92" spans="1:5" x14ac:dyDescent="0.25">
      <c r="A92" s="1">
        <v>81</v>
      </c>
      <c r="D92" s="65">
        <f>IF(MOD(A92,5)=0,D91+('Cálculos NBR9062 2017'!$B$45+'Cálculos NBR9062 2017'!$B$44),D91)</f>
        <v>258.5</v>
      </c>
      <c r="E92">
        <f t="shared" si="1"/>
        <v>0</v>
      </c>
    </row>
    <row r="93" spans="1:5" x14ac:dyDescent="0.25">
      <c r="A93" s="1">
        <v>82</v>
      </c>
      <c r="D93" s="65">
        <f>IF(MOD(A93,5)=0,D92+('Cálculos NBR9062 2017'!$B$45+'Cálculos NBR9062 2017'!$B$44),D92)</f>
        <v>258.5</v>
      </c>
      <c r="E93">
        <f t="shared" si="1"/>
        <v>0</v>
      </c>
    </row>
    <row r="94" spans="1:5" x14ac:dyDescent="0.25">
      <c r="A94" s="1">
        <v>83</v>
      </c>
      <c r="D94" s="65">
        <f>IF(MOD(A94,5)=0,D93+('Cálculos NBR9062 2017'!$B$45+'Cálculos NBR9062 2017'!$B$44),D93)</f>
        <v>258.5</v>
      </c>
      <c r="E94">
        <f t="shared" si="1"/>
        <v>0</v>
      </c>
    </row>
    <row r="95" spans="1:5" x14ac:dyDescent="0.25">
      <c r="A95" s="1">
        <v>84</v>
      </c>
      <c r="D95" s="65">
        <f>IF(MOD(A95,5)=0,D94+('Cálculos NBR9062 2017'!$B$45+'Cálculos NBR9062 2017'!$B$44),D94)</f>
        <v>258.5</v>
      </c>
      <c r="E95">
        <f t="shared" si="1"/>
        <v>0</v>
      </c>
    </row>
    <row r="96" spans="1:5" x14ac:dyDescent="0.25">
      <c r="A96" s="1">
        <v>85</v>
      </c>
      <c r="D96" s="65">
        <f>IF(MOD(A96,5)=0,D95+('Cálculos NBR9062 2017'!$B$45+'Cálculos NBR9062 2017'!$B$44),D95)</f>
        <v>274.5</v>
      </c>
      <c r="E96">
        <f t="shared" si="1"/>
        <v>0</v>
      </c>
    </row>
    <row r="97" spans="1:5" x14ac:dyDescent="0.25">
      <c r="A97" s="1">
        <v>86</v>
      </c>
      <c r="D97" s="65">
        <f>IF(MOD(A97,5)=0,D96+('Cálculos NBR9062 2017'!$B$45+'Cálculos NBR9062 2017'!$B$44),D96)</f>
        <v>274.5</v>
      </c>
      <c r="E97">
        <f t="shared" si="1"/>
        <v>0</v>
      </c>
    </row>
    <row r="98" spans="1:5" x14ac:dyDescent="0.25">
      <c r="A98" s="83">
        <v>87</v>
      </c>
      <c r="D98" s="65">
        <f>IF(MOD(A98,5)=0,D97+('Cálculos NBR9062 2017'!$B$45+'Cálculos NBR9062 2017'!$B$44),D97)</f>
        <v>274.5</v>
      </c>
      <c r="E98">
        <f t="shared" si="1"/>
        <v>0</v>
      </c>
    </row>
    <row r="99" spans="1:5" x14ac:dyDescent="0.25">
      <c r="A99" s="83">
        <v>88</v>
      </c>
      <c r="D99" s="65">
        <f>IF(MOD(A99,5)=0,D98+('Cálculos NBR9062 2017'!$B$45+'Cálculos NBR9062 2017'!$B$44),D98)</f>
        <v>274.5</v>
      </c>
      <c r="E99">
        <f t="shared" si="1"/>
        <v>0</v>
      </c>
    </row>
    <row r="100" spans="1:5" x14ac:dyDescent="0.25">
      <c r="A100" s="83">
        <v>89</v>
      </c>
      <c r="D100" s="65">
        <f>IF(MOD(A100,5)=0,D99+('Cálculos NBR9062 2017'!$B$45+'Cálculos NBR9062 2017'!$B$44),D99)</f>
        <v>274.5</v>
      </c>
      <c r="E100">
        <f t="shared" si="1"/>
        <v>0</v>
      </c>
    </row>
    <row r="101" spans="1:5" x14ac:dyDescent="0.25">
      <c r="A101" s="83">
        <v>90</v>
      </c>
      <c r="D101" s="65">
        <f>IF(MOD(A101,5)=0,D100+('Cálculos NBR9062 2017'!$B$45+'Cálculos NBR9062 2017'!$B$44),D100)</f>
        <v>290.5</v>
      </c>
      <c r="E101">
        <f t="shared" si="1"/>
        <v>0</v>
      </c>
    </row>
    <row r="102" spans="1:5" x14ac:dyDescent="0.25">
      <c r="A102" s="1">
        <v>91</v>
      </c>
      <c r="D102" s="65">
        <f>IF(MOD(A102,5)=0,D101+('Cálculos NBR9062 2017'!$B$45+'Cálculos NBR9062 2017'!$B$44),D101)</f>
        <v>290.5</v>
      </c>
      <c r="E102">
        <f t="shared" si="1"/>
        <v>0</v>
      </c>
    </row>
    <row r="103" spans="1:5" x14ac:dyDescent="0.25">
      <c r="A103" s="1">
        <v>92</v>
      </c>
      <c r="D103" s="65">
        <f>IF(MOD(A103,5)=0,D102+('Cálculos NBR9062 2017'!$B$45+'Cálculos NBR9062 2017'!$B$44),D102)</f>
        <v>290.5</v>
      </c>
      <c r="E103">
        <f t="shared" si="1"/>
        <v>0</v>
      </c>
    </row>
    <row r="104" spans="1:5" x14ac:dyDescent="0.25">
      <c r="A104" s="1">
        <v>93</v>
      </c>
      <c r="D104" s="65">
        <f>IF(MOD(A104,5)=0,D103+('Cálculos NBR9062 2017'!$B$45+'Cálculos NBR9062 2017'!$B$44),D103)</f>
        <v>290.5</v>
      </c>
      <c r="E104">
        <f t="shared" si="1"/>
        <v>0</v>
      </c>
    </row>
    <row r="105" spans="1:5" x14ac:dyDescent="0.25">
      <c r="A105" s="1">
        <v>94</v>
      </c>
      <c r="D105" s="65">
        <f>IF(MOD(A105,5)=0,D104+('Cálculos NBR9062 2017'!$B$45+'Cálculos NBR9062 2017'!$B$44),D104)</f>
        <v>290.5</v>
      </c>
      <c r="E105">
        <f t="shared" si="1"/>
        <v>0</v>
      </c>
    </row>
    <row r="106" spans="1:5" x14ac:dyDescent="0.25">
      <c r="A106" s="1">
        <v>95</v>
      </c>
      <c r="D106" s="65">
        <f>IF(MOD(A106,5)=0,D105+('Cálculos NBR9062 2017'!$B$45+'Cálculos NBR9062 2017'!$B$44),D105)</f>
        <v>306.5</v>
      </c>
      <c r="E106">
        <f t="shared" si="1"/>
        <v>0</v>
      </c>
    </row>
    <row r="107" spans="1:5" x14ac:dyDescent="0.25">
      <c r="A107" s="1">
        <v>96</v>
      </c>
      <c r="D107" s="65">
        <f>IF(MOD(A107,5)=0,D106+('Cálculos NBR9062 2017'!$B$45+'Cálculos NBR9062 2017'!$B$44),D106)</f>
        <v>306.5</v>
      </c>
      <c r="E107">
        <f t="shared" si="1"/>
        <v>0</v>
      </c>
    </row>
    <row r="108" spans="1:5" x14ac:dyDescent="0.25">
      <c r="A108" s="83">
        <v>97</v>
      </c>
      <c r="D108" s="65">
        <f>IF(MOD(A108,5)=0,D107+('Cálculos NBR9062 2017'!$B$45+'Cálculos NBR9062 2017'!$B$44),D107)</f>
        <v>306.5</v>
      </c>
      <c r="E108">
        <f t="shared" si="1"/>
        <v>0</v>
      </c>
    </row>
    <row r="109" spans="1:5" x14ac:dyDescent="0.25">
      <c r="A109" s="83">
        <v>98</v>
      </c>
      <c r="D109" s="65">
        <f>IF(MOD(A109,5)=0,D108+('Cálculos NBR9062 2017'!$B$45+'Cálculos NBR9062 2017'!$B$44),D108)</f>
        <v>306.5</v>
      </c>
      <c r="E109">
        <f t="shared" si="1"/>
        <v>0</v>
      </c>
    </row>
    <row r="110" spans="1:5" x14ac:dyDescent="0.25">
      <c r="A110" s="83">
        <v>99</v>
      </c>
      <c r="D110" s="65">
        <f>IF(MOD(A110,5)=0,D109+('Cálculos NBR9062 2017'!$B$45+'Cálculos NBR9062 2017'!$B$44),D109)</f>
        <v>306.5</v>
      </c>
      <c r="E110">
        <f t="shared" si="1"/>
        <v>0</v>
      </c>
    </row>
    <row r="111" spans="1:5" x14ac:dyDescent="0.25">
      <c r="A111" s="83">
        <v>100</v>
      </c>
      <c r="D111" s="65">
        <f>IF(MOD(A111,5)=0,D110+('Cálculos NBR9062 2017'!$B$45+'Cálculos NBR9062 2017'!$B$44),D110)</f>
        <v>322.5</v>
      </c>
      <c r="E111">
        <f t="shared" si="1"/>
        <v>0</v>
      </c>
    </row>
    <row r="112" spans="1:5" x14ac:dyDescent="0.25">
      <c r="A112" s="1">
        <v>101</v>
      </c>
      <c r="D112" s="65">
        <f>IF(MOD(A112,5)=0,D111+('Cálculos NBR9062 2017'!$B$45+'Cálculos NBR9062 2017'!$B$44),D111)</f>
        <v>322.5</v>
      </c>
      <c r="E112">
        <f t="shared" si="1"/>
        <v>0</v>
      </c>
    </row>
    <row r="113" spans="1:5" x14ac:dyDescent="0.25">
      <c r="A113" s="1">
        <v>102</v>
      </c>
      <c r="D113" s="65">
        <f>IF(MOD(A113,5)=0,D112+('Cálculos NBR9062 2017'!$B$45+'Cálculos NBR9062 2017'!$B$44),D112)</f>
        <v>322.5</v>
      </c>
      <c r="E113">
        <f t="shared" si="1"/>
        <v>0</v>
      </c>
    </row>
    <row r="114" spans="1:5" x14ac:dyDescent="0.25">
      <c r="A114" s="1">
        <v>103</v>
      </c>
      <c r="D114" s="65">
        <f>IF(MOD(A114,5)=0,D113+('Cálculos NBR9062 2017'!$B$45+'Cálculos NBR9062 2017'!$B$44),D113)</f>
        <v>322.5</v>
      </c>
      <c r="E114">
        <f t="shared" si="1"/>
        <v>0</v>
      </c>
    </row>
    <row r="115" spans="1:5" x14ac:dyDescent="0.25">
      <c r="A115" s="1">
        <v>104</v>
      </c>
      <c r="D115" s="65">
        <f>IF(MOD(A115,5)=0,D114+('Cálculos NBR9062 2017'!$B$45+'Cálculos NBR9062 2017'!$B$44),D114)</f>
        <v>322.5</v>
      </c>
      <c r="E115">
        <f t="shared" si="1"/>
        <v>0</v>
      </c>
    </row>
    <row r="116" spans="1:5" x14ac:dyDescent="0.25">
      <c r="A116" s="1">
        <v>105</v>
      </c>
      <c r="D116" s="65">
        <f>IF(MOD(A116,5)=0,D115+('Cálculos NBR9062 2017'!$B$45+'Cálculos NBR9062 2017'!$B$44),D115)</f>
        <v>338.5</v>
      </c>
      <c r="E116">
        <f t="shared" si="1"/>
        <v>0</v>
      </c>
    </row>
    <row r="117" spans="1:5" x14ac:dyDescent="0.25">
      <c r="A117" s="1">
        <v>106</v>
      </c>
      <c r="D117" s="65">
        <f>IF(MOD(A117,5)=0,D116+('Cálculos NBR9062 2017'!$B$45+'Cálculos NBR9062 2017'!$B$44),D116)</f>
        <v>338.5</v>
      </c>
      <c r="E117">
        <f t="shared" si="1"/>
        <v>0</v>
      </c>
    </row>
    <row r="118" spans="1:5" x14ac:dyDescent="0.25">
      <c r="A118" s="83">
        <v>107</v>
      </c>
      <c r="D118" s="65">
        <f>IF(MOD(A118,5)=0,D117+('Cálculos NBR9062 2017'!$B$45+'Cálculos NBR9062 2017'!$B$44),D117)</f>
        <v>338.5</v>
      </c>
      <c r="E118">
        <f t="shared" si="1"/>
        <v>0</v>
      </c>
    </row>
    <row r="119" spans="1:5" x14ac:dyDescent="0.25">
      <c r="A119" s="83">
        <v>108</v>
      </c>
      <c r="D119" s="65">
        <f>IF(MOD(A119,5)=0,D118+('Cálculos NBR9062 2017'!$B$45+'Cálculos NBR9062 2017'!$B$44),D118)</f>
        <v>338.5</v>
      </c>
      <c r="E119">
        <f t="shared" si="1"/>
        <v>0</v>
      </c>
    </row>
    <row r="120" spans="1:5" x14ac:dyDescent="0.25">
      <c r="A120" s="83">
        <v>109</v>
      </c>
      <c r="D120" s="65">
        <f>IF(MOD(A120,5)=0,D119+('Cálculos NBR9062 2017'!$B$45+'Cálculos NBR9062 2017'!$B$44),D119)</f>
        <v>338.5</v>
      </c>
      <c r="E120">
        <f t="shared" si="1"/>
        <v>0</v>
      </c>
    </row>
    <row r="121" spans="1:5" x14ac:dyDescent="0.25">
      <c r="A121" s="83">
        <v>110</v>
      </c>
      <c r="D121" s="65">
        <f>IF(MOD(A121,5)=0,D120+('Cálculos NBR9062 2017'!$B$45+'Cálculos NBR9062 2017'!$B$44),D120)</f>
        <v>354.5</v>
      </c>
      <c r="E121">
        <f t="shared" si="1"/>
        <v>0</v>
      </c>
    </row>
    <row r="122" spans="1:5" x14ac:dyDescent="0.25">
      <c r="A122" s="1">
        <v>111</v>
      </c>
      <c r="D122" s="65">
        <f>IF(MOD(A122,5)=0,D121+('Cálculos NBR9062 2017'!$B$45+'Cálculos NBR9062 2017'!$B$44),D121)</f>
        <v>354.5</v>
      </c>
      <c r="E122">
        <f t="shared" si="1"/>
        <v>0</v>
      </c>
    </row>
    <row r="123" spans="1:5" x14ac:dyDescent="0.25">
      <c r="A123" s="1">
        <v>112</v>
      </c>
      <c r="D123" s="65">
        <f>IF(MOD(A123,5)=0,D122+('Cálculos NBR9062 2017'!$B$45+'Cálculos NBR9062 2017'!$B$44),D122)</f>
        <v>354.5</v>
      </c>
      <c r="E123">
        <f t="shared" si="1"/>
        <v>0</v>
      </c>
    </row>
    <row r="124" spans="1:5" x14ac:dyDescent="0.25">
      <c r="A124" s="1">
        <v>113</v>
      </c>
      <c r="D124" s="65">
        <f>IF(MOD(A124,5)=0,D123+('Cálculos NBR9062 2017'!$B$45+'Cálculos NBR9062 2017'!$B$44),D123)</f>
        <v>354.5</v>
      </c>
      <c r="E124">
        <f t="shared" si="1"/>
        <v>0</v>
      </c>
    </row>
    <row r="125" spans="1:5" x14ac:dyDescent="0.25">
      <c r="A125" s="1">
        <v>114</v>
      </c>
      <c r="D125" s="65">
        <f>IF(MOD(A125,5)=0,D124+('Cálculos NBR9062 2017'!$B$45+'Cálculos NBR9062 2017'!$B$44),D124)</f>
        <v>354.5</v>
      </c>
      <c r="E125">
        <f t="shared" si="1"/>
        <v>0</v>
      </c>
    </row>
    <row r="126" spans="1:5" x14ac:dyDescent="0.25">
      <c r="A126" s="1">
        <v>115</v>
      </c>
      <c r="D126" s="65">
        <f>IF(MOD(A126,5)=0,D125+('Cálculos NBR9062 2017'!$B$45+'Cálculos NBR9062 2017'!$B$44),D125)</f>
        <v>370.5</v>
      </c>
      <c r="E126">
        <f t="shared" si="1"/>
        <v>0</v>
      </c>
    </row>
    <row r="127" spans="1:5" x14ac:dyDescent="0.25">
      <c r="A127" s="1">
        <v>116</v>
      </c>
      <c r="D127" s="65">
        <f>IF(MOD(A127,5)=0,D126+('Cálculos NBR9062 2017'!$B$45+'Cálculos NBR9062 2017'!$B$44),D126)</f>
        <v>370.5</v>
      </c>
      <c r="E127">
        <f t="shared" si="1"/>
        <v>0</v>
      </c>
    </row>
    <row r="128" spans="1:5" x14ac:dyDescent="0.25">
      <c r="A128" s="83">
        <v>117</v>
      </c>
      <c r="D128" s="65">
        <f>IF(MOD(A128,5)=0,D127+('Cálculos NBR9062 2017'!$B$45+'Cálculos NBR9062 2017'!$B$44),D127)</f>
        <v>370.5</v>
      </c>
      <c r="E128">
        <f t="shared" si="1"/>
        <v>0</v>
      </c>
    </row>
    <row r="129" spans="1:5" x14ac:dyDescent="0.25">
      <c r="A129" s="83">
        <v>118</v>
      </c>
      <c r="D129" s="65">
        <f>IF(MOD(A129,5)=0,D128+('Cálculos NBR9062 2017'!$B$45+'Cálculos NBR9062 2017'!$B$44),D128)</f>
        <v>370.5</v>
      </c>
      <c r="E129">
        <f t="shared" si="1"/>
        <v>0</v>
      </c>
    </row>
    <row r="130" spans="1:5" x14ac:dyDescent="0.25">
      <c r="A130" s="83">
        <v>119</v>
      </c>
      <c r="D130" s="65">
        <f>IF(MOD(A130,5)=0,D129+('Cálculos NBR9062 2017'!$B$45+'Cálculos NBR9062 2017'!$B$44),D129)</f>
        <v>370.5</v>
      </c>
      <c r="E130">
        <f t="shared" si="1"/>
        <v>0</v>
      </c>
    </row>
    <row r="131" spans="1:5" x14ac:dyDescent="0.25">
      <c r="A131" s="83">
        <v>120</v>
      </c>
      <c r="D131" s="65">
        <f>IF(MOD(A131,5)=0,D130+('Cálculos NBR9062 2017'!$B$45+'Cálculos NBR9062 2017'!$B$44),D130)</f>
        <v>386.5</v>
      </c>
      <c r="E131">
        <f t="shared" si="1"/>
        <v>0</v>
      </c>
    </row>
    <row r="132" spans="1:5" x14ac:dyDescent="0.25">
      <c r="A132" s="1">
        <v>121</v>
      </c>
      <c r="D132" s="65">
        <f>IF(MOD(A132,5)=0,D131+('Cálculos NBR9062 2017'!$B$45+'Cálculos NBR9062 2017'!$B$44),D131)</f>
        <v>386.5</v>
      </c>
      <c r="E132">
        <f t="shared" si="1"/>
        <v>0</v>
      </c>
    </row>
    <row r="133" spans="1:5" x14ac:dyDescent="0.25">
      <c r="A133" s="1">
        <v>122</v>
      </c>
      <c r="D133" s="65">
        <f>IF(MOD(A133,5)=0,D132+('Cálculos NBR9062 2017'!$B$45+'Cálculos NBR9062 2017'!$B$44),D132)</f>
        <v>386.5</v>
      </c>
      <c r="E133">
        <f t="shared" si="1"/>
        <v>0</v>
      </c>
    </row>
    <row r="134" spans="1:5" x14ac:dyDescent="0.25">
      <c r="A134" s="1">
        <v>123</v>
      </c>
      <c r="D134" s="65">
        <f>IF(MOD(A134,5)=0,D133+('Cálculos NBR9062 2017'!$B$45+'Cálculos NBR9062 2017'!$B$44),D133)</f>
        <v>386.5</v>
      </c>
      <c r="E134">
        <f t="shared" si="1"/>
        <v>0</v>
      </c>
    </row>
    <row r="135" spans="1:5" x14ac:dyDescent="0.25">
      <c r="A135" s="1">
        <v>124</v>
      </c>
      <c r="D135" s="65">
        <f>IF(MOD(A135,5)=0,D134+('Cálculos NBR9062 2017'!$B$45+'Cálculos NBR9062 2017'!$B$44),D134)</f>
        <v>386.5</v>
      </c>
      <c r="E135">
        <f t="shared" si="1"/>
        <v>0</v>
      </c>
    </row>
    <row r="136" spans="1:5" x14ac:dyDescent="0.25">
      <c r="A136" s="1">
        <v>125</v>
      </c>
      <c r="D136" s="65">
        <f>IF(MOD(A136,5)=0,D135+('Cálculos NBR9062 2017'!$B$45+'Cálculos NBR9062 2017'!$B$44),D135)</f>
        <v>402.5</v>
      </c>
      <c r="E136">
        <f t="shared" si="1"/>
        <v>0</v>
      </c>
    </row>
    <row r="137" spans="1:5" x14ac:dyDescent="0.25">
      <c r="A137" s="1">
        <v>126</v>
      </c>
      <c r="D137" s="65">
        <f>IF(MOD(A137,5)=0,D136+('Cálculos NBR9062 2017'!$B$45+'Cálculos NBR9062 2017'!$B$44),D136)</f>
        <v>402.5</v>
      </c>
      <c r="E137">
        <f t="shared" si="1"/>
        <v>0</v>
      </c>
    </row>
    <row r="138" spans="1:5" x14ac:dyDescent="0.25">
      <c r="A138" s="83">
        <v>127</v>
      </c>
      <c r="D138" s="65">
        <f>IF(MOD(A138,5)=0,D137+('Cálculos NBR9062 2017'!$B$45+'Cálculos NBR9062 2017'!$B$44),D137)</f>
        <v>402.5</v>
      </c>
      <c r="E138">
        <f t="shared" si="1"/>
        <v>0</v>
      </c>
    </row>
    <row r="139" spans="1:5" x14ac:dyDescent="0.25">
      <c r="A139" s="83">
        <v>128</v>
      </c>
      <c r="D139" s="65">
        <f>IF(MOD(A139,5)=0,D138+('Cálculos NBR9062 2017'!$B$45+'Cálculos NBR9062 2017'!$B$44),D138)</f>
        <v>402.5</v>
      </c>
      <c r="E139">
        <f t="shared" si="1"/>
        <v>0</v>
      </c>
    </row>
    <row r="140" spans="1:5" x14ac:dyDescent="0.25">
      <c r="A140" s="83">
        <v>129</v>
      </c>
      <c r="D140" s="65">
        <f>IF(MOD(A140,5)=0,D139+('Cálculos NBR9062 2017'!$B$45+'Cálculos NBR9062 2017'!$B$44),D139)</f>
        <v>402.5</v>
      </c>
      <c r="E140">
        <f t="shared" si="1"/>
        <v>0</v>
      </c>
    </row>
    <row r="141" spans="1:5" x14ac:dyDescent="0.25">
      <c r="A141" s="83">
        <v>130</v>
      </c>
      <c r="D141" s="65">
        <f>IF(MOD(A141,5)=0,D140+('Cálculos NBR9062 2017'!$B$45+'Cálculos NBR9062 2017'!$B$44),D140)</f>
        <v>418.5</v>
      </c>
      <c r="E141">
        <f t="shared" si="1"/>
        <v>0</v>
      </c>
    </row>
    <row r="142" spans="1:5" x14ac:dyDescent="0.25">
      <c r="A142" s="1">
        <v>131</v>
      </c>
      <c r="D142" s="65">
        <f>IF(MOD(A142,5)=0,D141+('Cálculos NBR9062 2017'!$B$45+'Cálculos NBR9062 2017'!$B$44),D141)</f>
        <v>418.5</v>
      </c>
      <c r="E142">
        <f t="shared" ref="E142:E205" si="2">IF(E141=0,0,IF(MOD(A141,5)=0,IF(A141/5&gt;$E$10,0,1),1))</f>
        <v>0</v>
      </c>
    </row>
    <row r="143" spans="1:5" x14ac:dyDescent="0.25">
      <c r="A143" s="1">
        <v>132</v>
      </c>
      <c r="D143" s="65">
        <f>IF(MOD(A143,5)=0,D142+('Cálculos NBR9062 2017'!$B$45+'Cálculos NBR9062 2017'!$B$44),D142)</f>
        <v>418.5</v>
      </c>
      <c r="E143">
        <f t="shared" si="2"/>
        <v>0</v>
      </c>
    </row>
    <row r="144" spans="1:5" x14ac:dyDescent="0.25">
      <c r="A144" s="1">
        <v>133</v>
      </c>
      <c r="D144" s="65">
        <f>IF(MOD(A144,5)=0,D143+('Cálculos NBR9062 2017'!$B$45+'Cálculos NBR9062 2017'!$B$44),D143)</f>
        <v>418.5</v>
      </c>
      <c r="E144">
        <f t="shared" si="2"/>
        <v>0</v>
      </c>
    </row>
    <row r="145" spans="1:5" x14ac:dyDescent="0.25">
      <c r="A145" s="1">
        <v>134</v>
      </c>
      <c r="D145" s="65">
        <f>IF(MOD(A145,5)=0,D144+('Cálculos NBR9062 2017'!$B$45+'Cálculos NBR9062 2017'!$B$44),D144)</f>
        <v>418.5</v>
      </c>
      <c r="E145">
        <f t="shared" si="2"/>
        <v>0</v>
      </c>
    </row>
    <row r="146" spans="1:5" x14ac:dyDescent="0.25">
      <c r="A146" s="1">
        <v>135</v>
      </c>
      <c r="D146" s="65">
        <f>IF(MOD(A146,5)=0,D145+('Cálculos NBR9062 2017'!$B$45+'Cálculos NBR9062 2017'!$B$44),D145)</f>
        <v>434.5</v>
      </c>
      <c r="E146">
        <f t="shared" si="2"/>
        <v>0</v>
      </c>
    </row>
    <row r="147" spans="1:5" x14ac:dyDescent="0.25">
      <c r="A147" s="1">
        <v>136</v>
      </c>
      <c r="D147" s="65">
        <f>IF(MOD(A147,5)=0,D146+('Cálculos NBR9062 2017'!$B$45+'Cálculos NBR9062 2017'!$B$44),D146)</f>
        <v>434.5</v>
      </c>
      <c r="E147">
        <f t="shared" si="2"/>
        <v>0</v>
      </c>
    </row>
    <row r="148" spans="1:5" x14ac:dyDescent="0.25">
      <c r="A148" s="83">
        <v>137</v>
      </c>
      <c r="D148" s="65">
        <f>IF(MOD(A148,5)=0,D147+('Cálculos NBR9062 2017'!$B$45+'Cálculos NBR9062 2017'!$B$44),D147)</f>
        <v>434.5</v>
      </c>
      <c r="E148">
        <f t="shared" si="2"/>
        <v>0</v>
      </c>
    </row>
    <row r="149" spans="1:5" x14ac:dyDescent="0.25">
      <c r="A149" s="83">
        <v>138</v>
      </c>
      <c r="D149" s="65">
        <f>IF(MOD(A149,5)=0,D148+('Cálculos NBR9062 2017'!$B$45+'Cálculos NBR9062 2017'!$B$44),D148)</f>
        <v>434.5</v>
      </c>
      <c r="E149">
        <f t="shared" si="2"/>
        <v>0</v>
      </c>
    </row>
    <row r="150" spans="1:5" x14ac:dyDescent="0.25">
      <c r="A150" s="83">
        <v>139</v>
      </c>
      <c r="D150" s="65">
        <f>IF(MOD(A150,5)=0,D149+('Cálculos NBR9062 2017'!$B$45+'Cálculos NBR9062 2017'!$B$44),D149)</f>
        <v>434.5</v>
      </c>
      <c r="E150">
        <f t="shared" si="2"/>
        <v>0</v>
      </c>
    </row>
    <row r="151" spans="1:5" x14ac:dyDescent="0.25">
      <c r="A151" s="83">
        <v>140</v>
      </c>
      <c r="D151" s="65">
        <f>IF(MOD(A151,5)=0,D150+('Cálculos NBR9062 2017'!$B$45+'Cálculos NBR9062 2017'!$B$44),D150)</f>
        <v>450.5</v>
      </c>
      <c r="E151">
        <f t="shared" si="2"/>
        <v>0</v>
      </c>
    </row>
    <row r="152" spans="1:5" x14ac:dyDescent="0.25">
      <c r="A152" s="1">
        <v>141</v>
      </c>
      <c r="D152" s="65">
        <f>IF(MOD(A152,5)=0,D151+('Cálculos NBR9062 2017'!$B$45+'Cálculos NBR9062 2017'!$B$44),D151)</f>
        <v>450.5</v>
      </c>
      <c r="E152">
        <f t="shared" si="2"/>
        <v>0</v>
      </c>
    </row>
    <row r="153" spans="1:5" x14ac:dyDescent="0.25">
      <c r="A153" s="1">
        <v>142</v>
      </c>
      <c r="D153" s="65">
        <f>IF(MOD(A153,5)=0,D152+('Cálculos NBR9062 2017'!$B$45+'Cálculos NBR9062 2017'!$B$44),D152)</f>
        <v>450.5</v>
      </c>
      <c r="E153">
        <f t="shared" si="2"/>
        <v>0</v>
      </c>
    </row>
    <row r="154" spans="1:5" x14ac:dyDescent="0.25">
      <c r="A154" s="1">
        <v>143</v>
      </c>
      <c r="D154" s="65">
        <f>IF(MOD(A154,5)=0,D153+('Cálculos NBR9062 2017'!$B$45+'Cálculos NBR9062 2017'!$B$44),D153)</f>
        <v>450.5</v>
      </c>
      <c r="E154">
        <f t="shared" si="2"/>
        <v>0</v>
      </c>
    </row>
    <row r="155" spans="1:5" x14ac:dyDescent="0.25">
      <c r="A155" s="1">
        <v>144</v>
      </c>
      <c r="D155" s="65">
        <f>IF(MOD(A155,5)=0,D154+('Cálculos NBR9062 2017'!$B$45+'Cálculos NBR9062 2017'!$B$44),D154)</f>
        <v>450.5</v>
      </c>
      <c r="E155">
        <f t="shared" si="2"/>
        <v>0</v>
      </c>
    </row>
    <row r="156" spans="1:5" x14ac:dyDescent="0.25">
      <c r="A156" s="1">
        <v>145</v>
      </c>
      <c r="D156" s="65">
        <f>IF(MOD(A156,5)=0,D155+('Cálculos NBR9062 2017'!$B$45+'Cálculos NBR9062 2017'!$B$44),D155)</f>
        <v>466.5</v>
      </c>
      <c r="E156">
        <f t="shared" si="2"/>
        <v>0</v>
      </c>
    </row>
    <row r="157" spans="1:5" x14ac:dyDescent="0.25">
      <c r="A157" s="1">
        <v>146</v>
      </c>
      <c r="D157" s="65">
        <f>IF(MOD(A157,5)=0,D156+('Cálculos NBR9062 2017'!$B$45+'Cálculos NBR9062 2017'!$B$44),D156)</f>
        <v>466.5</v>
      </c>
      <c r="E157">
        <f t="shared" si="2"/>
        <v>0</v>
      </c>
    </row>
    <row r="158" spans="1:5" x14ac:dyDescent="0.25">
      <c r="A158" s="83">
        <v>147</v>
      </c>
      <c r="D158" s="65">
        <f>IF(MOD(A158,5)=0,D157+('Cálculos NBR9062 2017'!$B$45+'Cálculos NBR9062 2017'!$B$44),D157)</f>
        <v>466.5</v>
      </c>
      <c r="E158">
        <f t="shared" si="2"/>
        <v>0</v>
      </c>
    </row>
    <row r="159" spans="1:5" x14ac:dyDescent="0.25">
      <c r="A159" s="83">
        <v>148</v>
      </c>
      <c r="D159" s="65">
        <f>IF(MOD(A159,5)=0,D158+('Cálculos NBR9062 2017'!$B$45+'Cálculos NBR9062 2017'!$B$44),D158)</f>
        <v>466.5</v>
      </c>
      <c r="E159">
        <f t="shared" si="2"/>
        <v>0</v>
      </c>
    </row>
    <row r="160" spans="1:5" x14ac:dyDescent="0.25">
      <c r="A160" s="83">
        <v>149</v>
      </c>
      <c r="D160" s="65">
        <f>IF(MOD(A160,5)=0,D159+('Cálculos NBR9062 2017'!$B$45+'Cálculos NBR9062 2017'!$B$44),D159)</f>
        <v>466.5</v>
      </c>
      <c r="E160">
        <f t="shared" si="2"/>
        <v>0</v>
      </c>
    </row>
    <row r="161" spans="1:5" x14ac:dyDescent="0.25">
      <c r="A161" s="83">
        <v>150</v>
      </c>
      <c r="D161" s="65">
        <f>IF(MOD(A161,5)=0,D160+('Cálculos NBR9062 2017'!$B$45+'Cálculos NBR9062 2017'!$B$44),D160)</f>
        <v>482.5</v>
      </c>
      <c r="E161">
        <f t="shared" si="2"/>
        <v>0</v>
      </c>
    </row>
    <row r="162" spans="1:5" x14ac:dyDescent="0.25">
      <c r="A162" s="1">
        <v>151</v>
      </c>
      <c r="D162" s="65">
        <f>IF(MOD(A162,5)=0,D161+('Cálculos NBR9062 2017'!$B$45+'Cálculos NBR9062 2017'!$B$44),D161)</f>
        <v>482.5</v>
      </c>
      <c r="E162">
        <f t="shared" si="2"/>
        <v>0</v>
      </c>
    </row>
    <row r="163" spans="1:5" x14ac:dyDescent="0.25">
      <c r="A163" s="1">
        <v>152</v>
      </c>
      <c r="D163" s="65">
        <f>IF(MOD(A163,5)=0,D162+('Cálculos NBR9062 2017'!$B$45+'Cálculos NBR9062 2017'!$B$44),D162)</f>
        <v>482.5</v>
      </c>
      <c r="E163">
        <f t="shared" si="2"/>
        <v>0</v>
      </c>
    </row>
    <row r="164" spans="1:5" x14ac:dyDescent="0.25">
      <c r="A164" s="1">
        <v>153</v>
      </c>
      <c r="D164" s="65">
        <f>IF(MOD(A164,5)=0,D163+('Cálculos NBR9062 2017'!$B$45+'Cálculos NBR9062 2017'!$B$44),D163)</f>
        <v>482.5</v>
      </c>
      <c r="E164">
        <f t="shared" si="2"/>
        <v>0</v>
      </c>
    </row>
    <row r="165" spans="1:5" x14ac:dyDescent="0.25">
      <c r="A165" s="1">
        <v>154</v>
      </c>
      <c r="D165" s="65">
        <f>IF(MOD(A165,5)=0,D164+('Cálculos NBR9062 2017'!$B$45+'Cálculos NBR9062 2017'!$B$44),D164)</f>
        <v>482.5</v>
      </c>
      <c r="E165">
        <f t="shared" si="2"/>
        <v>0</v>
      </c>
    </row>
    <row r="166" spans="1:5" x14ac:dyDescent="0.25">
      <c r="A166" s="1">
        <v>155</v>
      </c>
      <c r="D166" s="65">
        <f>IF(MOD(A166,5)=0,D165+('Cálculos NBR9062 2017'!$B$45+'Cálculos NBR9062 2017'!$B$44),D165)</f>
        <v>498.5</v>
      </c>
      <c r="E166">
        <f t="shared" si="2"/>
        <v>0</v>
      </c>
    </row>
    <row r="167" spans="1:5" x14ac:dyDescent="0.25">
      <c r="A167" s="1">
        <v>156</v>
      </c>
      <c r="D167" s="65">
        <f>IF(MOD(A167,5)=0,D166+('Cálculos NBR9062 2017'!$B$45+'Cálculos NBR9062 2017'!$B$44),D166)</f>
        <v>498.5</v>
      </c>
      <c r="E167">
        <f t="shared" si="2"/>
        <v>0</v>
      </c>
    </row>
    <row r="168" spans="1:5" x14ac:dyDescent="0.25">
      <c r="A168" s="83">
        <v>157</v>
      </c>
      <c r="D168" s="65">
        <f>IF(MOD(A168,5)=0,D167+('Cálculos NBR9062 2017'!$B$45+'Cálculos NBR9062 2017'!$B$44),D167)</f>
        <v>498.5</v>
      </c>
      <c r="E168">
        <f t="shared" si="2"/>
        <v>0</v>
      </c>
    </row>
    <row r="169" spans="1:5" x14ac:dyDescent="0.25">
      <c r="A169" s="83">
        <v>158</v>
      </c>
      <c r="D169" s="65">
        <f>IF(MOD(A169,5)=0,D168+('Cálculos NBR9062 2017'!$B$45+'Cálculos NBR9062 2017'!$B$44),D168)</f>
        <v>498.5</v>
      </c>
      <c r="E169">
        <f t="shared" si="2"/>
        <v>0</v>
      </c>
    </row>
    <row r="170" spans="1:5" x14ac:dyDescent="0.25">
      <c r="A170" s="83">
        <v>159</v>
      </c>
      <c r="D170" s="65">
        <f>IF(MOD(A170,5)=0,D169+('Cálculos NBR9062 2017'!$B$45+'Cálculos NBR9062 2017'!$B$44),D169)</f>
        <v>498.5</v>
      </c>
      <c r="E170">
        <f t="shared" si="2"/>
        <v>0</v>
      </c>
    </row>
    <row r="171" spans="1:5" x14ac:dyDescent="0.25">
      <c r="A171" s="83">
        <v>160</v>
      </c>
      <c r="D171" s="65">
        <f>IF(MOD(A171,5)=0,D170+('Cálculos NBR9062 2017'!$B$45+'Cálculos NBR9062 2017'!$B$44),D170)</f>
        <v>514.5</v>
      </c>
      <c r="E171">
        <f t="shared" si="2"/>
        <v>0</v>
      </c>
    </row>
    <row r="172" spans="1:5" x14ac:dyDescent="0.25">
      <c r="A172" s="1">
        <v>161</v>
      </c>
      <c r="D172" s="65">
        <f>IF(MOD(A172,5)=0,D171+('Cálculos NBR9062 2017'!$B$45+'Cálculos NBR9062 2017'!$B$44),D171)</f>
        <v>514.5</v>
      </c>
      <c r="E172">
        <f t="shared" si="2"/>
        <v>0</v>
      </c>
    </row>
    <row r="173" spans="1:5" x14ac:dyDescent="0.25">
      <c r="A173" s="1">
        <v>162</v>
      </c>
      <c r="D173" s="65">
        <f>IF(MOD(A173,5)=0,D172+('Cálculos NBR9062 2017'!$B$45+'Cálculos NBR9062 2017'!$B$44),D172)</f>
        <v>514.5</v>
      </c>
      <c r="E173">
        <f t="shared" si="2"/>
        <v>0</v>
      </c>
    </row>
    <row r="174" spans="1:5" x14ac:dyDescent="0.25">
      <c r="A174" s="1">
        <v>163</v>
      </c>
      <c r="D174" s="65">
        <f>IF(MOD(A174,5)=0,D173+('Cálculos NBR9062 2017'!$B$45+'Cálculos NBR9062 2017'!$B$44),D173)</f>
        <v>514.5</v>
      </c>
      <c r="E174">
        <f t="shared" si="2"/>
        <v>0</v>
      </c>
    </row>
    <row r="175" spans="1:5" x14ac:dyDescent="0.25">
      <c r="A175" s="1">
        <v>164</v>
      </c>
      <c r="D175" s="65">
        <f>IF(MOD(A175,5)=0,D174+('Cálculos NBR9062 2017'!$B$45+'Cálculos NBR9062 2017'!$B$44),D174)</f>
        <v>514.5</v>
      </c>
      <c r="E175">
        <f t="shared" si="2"/>
        <v>0</v>
      </c>
    </row>
    <row r="176" spans="1:5" x14ac:dyDescent="0.25">
      <c r="A176" s="1">
        <v>165</v>
      </c>
      <c r="D176" s="65">
        <f>IF(MOD(A176,5)=0,D175+('Cálculos NBR9062 2017'!$B$45+'Cálculos NBR9062 2017'!$B$44),D175)</f>
        <v>530.5</v>
      </c>
      <c r="E176">
        <f t="shared" si="2"/>
        <v>0</v>
      </c>
    </row>
    <row r="177" spans="1:5" x14ac:dyDescent="0.25">
      <c r="A177" s="1">
        <v>166</v>
      </c>
      <c r="D177" s="65">
        <f>IF(MOD(A177,5)=0,D176+('Cálculos NBR9062 2017'!$B$45+'Cálculos NBR9062 2017'!$B$44),D176)</f>
        <v>530.5</v>
      </c>
      <c r="E177">
        <f t="shared" si="2"/>
        <v>0</v>
      </c>
    </row>
    <row r="178" spans="1:5" x14ac:dyDescent="0.25">
      <c r="A178" s="83">
        <v>167</v>
      </c>
      <c r="D178" s="65">
        <f>IF(MOD(A178,5)=0,D177+('Cálculos NBR9062 2017'!$B$45+'Cálculos NBR9062 2017'!$B$44),D177)</f>
        <v>530.5</v>
      </c>
      <c r="E178">
        <f t="shared" si="2"/>
        <v>0</v>
      </c>
    </row>
    <row r="179" spans="1:5" x14ac:dyDescent="0.25">
      <c r="A179" s="83">
        <v>168</v>
      </c>
      <c r="D179" s="65">
        <f>IF(MOD(A179,5)=0,D178+('Cálculos NBR9062 2017'!$B$45+'Cálculos NBR9062 2017'!$B$44),D178)</f>
        <v>530.5</v>
      </c>
      <c r="E179">
        <f t="shared" si="2"/>
        <v>0</v>
      </c>
    </row>
    <row r="180" spans="1:5" x14ac:dyDescent="0.25">
      <c r="A180" s="83">
        <v>169</v>
      </c>
      <c r="D180" s="65">
        <f>IF(MOD(A180,5)=0,D179+('Cálculos NBR9062 2017'!$B$45+'Cálculos NBR9062 2017'!$B$44),D179)</f>
        <v>530.5</v>
      </c>
      <c r="E180">
        <f t="shared" si="2"/>
        <v>0</v>
      </c>
    </row>
    <row r="181" spans="1:5" x14ac:dyDescent="0.25">
      <c r="A181" s="83">
        <v>170</v>
      </c>
      <c r="D181" s="65">
        <f>IF(MOD(A181,5)=0,D180+('Cálculos NBR9062 2017'!$B$45+'Cálculos NBR9062 2017'!$B$44),D180)</f>
        <v>546.5</v>
      </c>
      <c r="E181">
        <f t="shared" si="2"/>
        <v>0</v>
      </c>
    </row>
    <row r="182" spans="1:5" x14ac:dyDescent="0.25">
      <c r="A182" s="1">
        <v>171</v>
      </c>
      <c r="D182" s="65">
        <f>IF(MOD(A182,5)=0,D181+('Cálculos NBR9062 2017'!$B$45+'Cálculos NBR9062 2017'!$B$44),D181)</f>
        <v>546.5</v>
      </c>
      <c r="E182">
        <f t="shared" si="2"/>
        <v>0</v>
      </c>
    </row>
    <row r="183" spans="1:5" x14ac:dyDescent="0.25">
      <c r="A183" s="1">
        <v>172</v>
      </c>
      <c r="D183" s="65">
        <f>IF(MOD(A183,5)=0,D182+('Cálculos NBR9062 2017'!$B$45+'Cálculos NBR9062 2017'!$B$44),D182)</f>
        <v>546.5</v>
      </c>
      <c r="E183">
        <f t="shared" si="2"/>
        <v>0</v>
      </c>
    </row>
    <row r="184" spans="1:5" x14ac:dyDescent="0.25">
      <c r="A184" s="1">
        <v>173</v>
      </c>
      <c r="D184" s="65">
        <f>IF(MOD(A184,5)=0,D183+('Cálculos NBR9062 2017'!$B$45+'Cálculos NBR9062 2017'!$B$44),D183)</f>
        <v>546.5</v>
      </c>
      <c r="E184">
        <f t="shared" si="2"/>
        <v>0</v>
      </c>
    </row>
    <row r="185" spans="1:5" x14ac:dyDescent="0.25">
      <c r="A185" s="1">
        <v>174</v>
      </c>
      <c r="D185" s="65">
        <f>IF(MOD(A185,5)=0,D184+('Cálculos NBR9062 2017'!$B$45+'Cálculos NBR9062 2017'!$B$44),D184)</f>
        <v>546.5</v>
      </c>
      <c r="E185">
        <f t="shared" si="2"/>
        <v>0</v>
      </c>
    </row>
    <row r="186" spans="1:5" x14ac:dyDescent="0.25">
      <c r="A186" s="1">
        <v>175</v>
      </c>
      <c r="D186" s="65">
        <f>IF(MOD(A186,5)=0,D185+('Cálculos NBR9062 2017'!$B$45+'Cálculos NBR9062 2017'!$B$44),D185)</f>
        <v>562.5</v>
      </c>
      <c r="E186">
        <f t="shared" si="2"/>
        <v>0</v>
      </c>
    </row>
    <row r="187" spans="1:5" x14ac:dyDescent="0.25">
      <c r="A187" s="1">
        <v>176</v>
      </c>
      <c r="D187" s="65">
        <f>IF(MOD(A187,5)=0,D186+('Cálculos NBR9062 2017'!$B$45+'Cálculos NBR9062 2017'!$B$44),D186)</f>
        <v>562.5</v>
      </c>
      <c r="E187">
        <f t="shared" si="2"/>
        <v>0</v>
      </c>
    </row>
    <row r="188" spans="1:5" x14ac:dyDescent="0.25">
      <c r="A188" s="83">
        <v>177</v>
      </c>
      <c r="D188" s="65">
        <f>IF(MOD(A188,5)=0,D187+('Cálculos NBR9062 2017'!$B$45+'Cálculos NBR9062 2017'!$B$44),D187)</f>
        <v>562.5</v>
      </c>
      <c r="E188">
        <f t="shared" si="2"/>
        <v>0</v>
      </c>
    </row>
    <row r="189" spans="1:5" x14ac:dyDescent="0.25">
      <c r="A189" s="83">
        <v>178</v>
      </c>
      <c r="D189" s="65">
        <f>IF(MOD(A189,5)=0,D188+('Cálculos NBR9062 2017'!$B$45+'Cálculos NBR9062 2017'!$B$44),D188)</f>
        <v>562.5</v>
      </c>
      <c r="E189">
        <f t="shared" si="2"/>
        <v>0</v>
      </c>
    </row>
    <row r="190" spans="1:5" x14ac:dyDescent="0.25">
      <c r="A190" s="83">
        <v>179</v>
      </c>
      <c r="D190" s="65">
        <f>IF(MOD(A190,5)=0,D189+('Cálculos NBR9062 2017'!$B$45+'Cálculos NBR9062 2017'!$B$44),D189)</f>
        <v>562.5</v>
      </c>
      <c r="E190">
        <f t="shared" si="2"/>
        <v>0</v>
      </c>
    </row>
    <row r="191" spans="1:5" x14ac:dyDescent="0.25">
      <c r="A191" s="83">
        <v>180</v>
      </c>
      <c r="D191" s="65">
        <f>IF(MOD(A191,5)=0,D190+('Cálculos NBR9062 2017'!$B$45+'Cálculos NBR9062 2017'!$B$44),D190)</f>
        <v>578.5</v>
      </c>
      <c r="E191">
        <f t="shared" si="2"/>
        <v>0</v>
      </c>
    </row>
    <row r="192" spans="1:5" x14ac:dyDescent="0.25">
      <c r="A192" s="1">
        <v>181</v>
      </c>
      <c r="D192" s="65">
        <f>IF(MOD(A192,5)=0,D191+('Cálculos NBR9062 2017'!$B$45+'Cálculos NBR9062 2017'!$B$44),D191)</f>
        <v>578.5</v>
      </c>
      <c r="E192">
        <f t="shared" si="2"/>
        <v>0</v>
      </c>
    </row>
    <row r="193" spans="1:5" x14ac:dyDescent="0.25">
      <c r="A193" s="1">
        <v>182</v>
      </c>
      <c r="D193" s="65">
        <f>IF(MOD(A193,5)=0,D192+('Cálculos NBR9062 2017'!$B$45+'Cálculos NBR9062 2017'!$B$44),D192)</f>
        <v>578.5</v>
      </c>
      <c r="E193">
        <f t="shared" si="2"/>
        <v>0</v>
      </c>
    </row>
    <row r="194" spans="1:5" x14ac:dyDescent="0.25">
      <c r="A194" s="1">
        <v>183</v>
      </c>
      <c r="D194" s="65">
        <f>IF(MOD(A194,5)=0,D193+('Cálculos NBR9062 2017'!$B$45+'Cálculos NBR9062 2017'!$B$44),D193)</f>
        <v>578.5</v>
      </c>
      <c r="E194">
        <f t="shared" si="2"/>
        <v>0</v>
      </c>
    </row>
    <row r="195" spans="1:5" x14ac:dyDescent="0.25">
      <c r="A195" s="1">
        <v>184</v>
      </c>
      <c r="D195" s="65">
        <f>IF(MOD(A195,5)=0,D194+('Cálculos NBR9062 2017'!$B$45+'Cálculos NBR9062 2017'!$B$44),D194)</f>
        <v>578.5</v>
      </c>
      <c r="E195">
        <f t="shared" si="2"/>
        <v>0</v>
      </c>
    </row>
    <row r="196" spans="1:5" x14ac:dyDescent="0.25">
      <c r="A196" s="1">
        <v>185</v>
      </c>
      <c r="D196" s="65">
        <f>IF(MOD(A196,5)=0,D195+('Cálculos NBR9062 2017'!$B$45+'Cálculos NBR9062 2017'!$B$44),D195)</f>
        <v>594.5</v>
      </c>
      <c r="E196">
        <f t="shared" si="2"/>
        <v>0</v>
      </c>
    </row>
    <row r="197" spans="1:5" x14ac:dyDescent="0.25">
      <c r="A197" s="1">
        <v>186</v>
      </c>
      <c r="D197" s="65">
        <f>IF(MOD(A197,5)=0,D196+('Cálculos NBR9062 2017'!$B$45+'Cálculos NBR9062 2017'!$B$44),D196)</f>
        <v>594.5</v>
      </c>
      <c r="E197">
        <f t="shared" si="2"/>
        <v>0</v>
      </c>
    </row>
    <row r="198" spans="1:5" x14ac:dyDescent="0.25">
      <c r="A198" s="83">
        <v>187</v>
      </c>
      <c r="D198" s="65">
        <f>IF(MOD(A198,5)=0,D197+('Cálculos NBR9062 2017'!$B$45+'Cálculos NBR9062 2017'!$B$44),D197)</f>
        <v>594.5</v>
      </c>
      <c r="E198">
        <f t="shared" si="2"/>
        <v>0</v>
      </c>
    </row>
    <row r="199" spans="1:5" x14ac:dyDescent="0.25">
      <c r="A199" s="83">
        <v>188</v>
      </c>
      <c r="D199" s="65">
        <f>IF(MOD(A199,5)=0,D198+('Cálculos NBR9062 2017'!$B$45+'Cálculos NBR9062 2017'!$B$44),D198)</f>
        <v>594.5</v>
      </c>
      <c r="E199">
        <f t="shared" si="2"/>
        <v>0</v>
      </c>
    </row>
    <row r="200" spans="1:5" x14ac:dyDescent="0.25">
      <c r="A200" s="83">
        <v>189</v>
      </c>
      <c r="D200" s="65">
        <f>IF(MOD(A200,5)=0,D199+('Cálculos NBR9062 2017'!$B$45+'Cálculos NBR9062 2017'!$B$44),D199)</f>
        <v>594.5</v>
      </c>
      <c r="E200">
        <f t="shared" si="2"/>
        <v>0</v>
      </c>
    </row>
    <row r="201" spans="1:5" x14ac:dyDescent="0.25">
      <c r="A201" s="83">
        <v>190</v>
      </c>
      <c r="D201" s="65">
        <f>IF(MOD(A201,5)=0,D200+('Cálculos NBR9062 2017'!$B$45+'Cálculos NBR9062 2017'!$B$44),D200)</f>
        <v>610.5</v>
      </c>
      <c r="E201">
        <f t="shared" si="2"/>
        <v>0</v>
      </c>
    </row>
    <row r="202" spans="1:5" x14ac:dyDescent="0.25">
      <c r="A202" s="1">
        <v>191</v>
      </c>
      <c r="D202" s="65">
        <f>IF(MOD(A202,5)=0,D201+('Cálculos NBR9062 2017'!$B$45+'Cálculos NBR9062 2017'!$B$44),D201)</f>
        <v>610.5</v>
      </c>
      <c r="E202">
        <f t="shared" si="2"/>
        <v>0</v>
      </c>
    </row>
    <row r="203" spans="1:5" x14ac:dyDescent="0.25">
      <c r="A203" s="1">
        <v>192</v>
      </c>
      <c r="D203" s="65">
        <f>IF(MOD(A203,5)=0,D202+('Cálculos NBR9062 2017'!$B$45+'Cálculos NBR9062 2017'!$B$44),D202)</f>
        <v>610.5</v>
      </c>
      <c r="E203">
        <f t="shared" si="2"/>
        <v>0</v>
      </c>
    </row>
    <row r="204" spans="1:5" x14ac:dyDescent="0.25">
      <c r="A204" s="1">
        <v>193</v>
      </c>
      <c r="D204" s="65">
        <f>IF(MOD(A204,5)=0,D203+('Cálculos NBR9062 2017'!$B$45+'Cálculos NBR9062 2017'!$B$44),D203)</f>
        <v>610.5</v>
      </c>
      <c r="E204">
        <f t="shared" si="2"/>
        <v>0</v>
      </c>
    </row>
    <row r="205" spans="1:5" x14ac:dyDescent="0.25">
      <c r="A205" s="1">
        <v>194</v>
      </c>
      <c r="D205" s="65">
        <f>IF(MOD(A205,5)=0,D204+('Cálculos NBR9062 2017'!$B$45+'Cálculos NBR9062 2017'!$B$44),D204)</f>
        <v>610.5</v>
      </c>
      <c r="E205">
        <f t="shared" si="2"/>
        <v>0</v>
      </c>
    </row>
    <row r="206" spans="1:5" x14ac:dyDescent="0.25">
      <c r="A206" s="1">
        <v>195</v>
      </c>
      <c r="D206" s="65">
        <f>IF(MOD(A206,5)=0,D205+('Cálculos NBR9062 2017'!$B$45+'Cálculos NBR9062 2017'!$B$44),D205)</f>
        <v>626.5</v>
      </c>
      <c r="E206">
        <f t="shared" ref="E206:E269" si="3">IF(E205=0,0,IF(MOD(A205,5)=0,IF(A205/5&gt;$E$10,0,1),1))</f>
        <v>0</v>
      </c>
    </row>
    <row r="207" spans="1:5" x14ac:dyDescent="0.25">
      <c r="A207" s="1">
        <v>196</v>
      </c>
      <c r="D207" s="65">
        <f>IF(MOD(A207,5)=0,D206+('Cálculos NBR9062 2017'!$B$45+'Cálculos NBR9062 2017'!$B$44),D206)</f>
        <v>626.5</v>
      </c>
      <c r="E207">
        <f t="shared" si="3"/>
        <v>0</v>
      </c>
    </row>
    <row r="208" spans="1:5" x14ac:dyDescent="0.25">
      <c r="A208" s="83">
        <v>197</v>
      </c>
      <c r="D208" s="65">
        <f>IF(MOD(A208,5)=0,D207+('Cálculos NBR9062 2017'!$B$45+'Cálculos NBR9062 2017'!$B$44),D207)</f>
        <v>626.5</v>
      </c>
      <c r="E208">
        <f t="shared" si="3"/>
        <v>0</v>
      </c>
    </row>
    <row r="209" spans="1:5" x14ac:dyDescent="0.25">
      <c r="A209" s="83">
        <v>198</v>
      </c>
      <c r="D209" s="65">
        <f>IF(MOD(A209,5)=0,D208+('Cálculos NBR9062 2017'!$B$45+'Cálculos NBR9062 2017'!$B$44),D208)</f>
        <v>626.5</v>
      </c>
      <c r="E209">
        <f t="shared" si="3"/>
        <v>0</v>
      </c>
    </row>
    <row r="210" spans="1:5" x14ac:dyDescent="0.25">
      <c r="A210" s="83">
        <v>199</v>
      </c>
      <c r="D210" s="65">
        <f>IF(MOD(A210,5)=0,D209+('Cálculos NBR9062 2017'!$B$45+'Cálculos NBR9062 2017'!$B$44),D209)</f>
        <v>626.5</v>
      </c>
      <c r="E210">
        <f t="shared" si="3"/>
        <v>0</v>
      </c>
    </row>
    <row r="211" spans="1:5" x14ac:dyDescent="0.25">
      <c r="A211" s="83">
        <v>200</v>
      </c>
      <c r="D211" s="65">
        <f>IF(MOD(A211,5)=0,D210+('Cálculos NBR9062 2017'!$B$45+'Cálculos NBR9062 2017'!$B$44),D210)</f>
        <v>642.5</v>
      </c>
      <c r="E211">
        <f t="shared" si="3"/>
        <v>0</v>
      </c>
    </row>
    <row r="212" spans="1:5" x14ac:dyDescent="0.25">
      <c r="A212" s="1">
        <v>201</v>
      </c>
      <c r="D212" s="65">
        <f>IF(MOD(A212,5)=0,D211+('Cálculos NBR9062 2017'!$B$45+'Cálculos NBR9062 2017'!$B$44),D211)</f>
        <v>642.5</v>
      </c>
      <c r="E212">
        <f t="shared" si="3"/>
        <v>0</v>
      </c>
    </row>
    <row r="213" spans="1:5" x14ac:dyDescent="0.25">
      <c r="A213" s="1">
        <v>202</v>
      </c>
      <c r="D213" s="65">
        <f>IF(MOD(A213,5)=0,D212+('Cálculos NBR9062 2017'!$B$45+'Cálculos NBR9062 2017'!$B$44),D212)</f>
        <v>642.5</v>
      </c>
      <c r="E213">
        <f t="shared" si="3"/>
        <v>0</v>
      </c>
    </row>
    <row r="214" spans="1:5" x14ac:dyDescent="0.25">
      <c r="A214" s="1">
        <v>203</v>
      </c>
      <c r="D214" s="65">
        <f>IF(MOD(A214,5)=0,D213+('Cálculos NBR9062 2017'!$B$45+'Cálculos NBR9062 2017'!$B$44),D213)</f>
        <v>642.5</v>
      </c>
      <c r="E214">
        <f t="shared" si="3"/>
        <v>0</v>
      </c>
    </row>
    <row r="215" spans="1:5" x14ac:dyDescent="0.25">
      <c r="A215" s="1">
        <v>204</v>
      </c>
      <c r="D215" s="65">
        <f>IF(MOD(A215,5)=0,D214+('Cálculos NBR9062 2017'!$B$45+'Cálculos NBR9062 2017'!$B$44),D214)</f>
        <v>642.5</v>
      </c>
      <c r="E215">
        <f t="shared" si="3"/>
        <v>0</v>
      </c>
    </row>
    <row r="216" spans="1:5" x14ac:dyDescent="0.25">
      <c r="A216" s="1">
        <v>205</v>
      </c>
      <c r="D216" s="65">
        <f>IF(MOD(A216,5)=0,D215+('Cálculos NBR9062 2017'!$B$45+'Cálculos NBR9062 2017'!$B$44),D215)</f>
        <v>658.5</v>
      </c>
      <c r="E216">
        <f t="shared" si="3"/>
        <v>0</v>
      </c>
    </row>
    <row r="217" spans="1:5" x14ac:dyDescent="0.25">
      <c r="A217" s="1">
        <v>206</v>
      </c>
      <c r="D217" s="65">
        <f>IF(MOD(A217,5)=0,D216+('Cálculos NBR9062 2017'!$B$45+'Cálculos NBR9062 2017'!$B$44),D216)</f>
        <v>658.5</v>
      </c>
      <c r="E217">
        <f t="shared" si="3"/>
        <v>0</v>
      </c>
    </row>
    <row r="218" spans="1:5" x14ac:dyDescent="0.25">
      <c r="A218" s="83">
        <v>207</v>
      </c>
      <c r="D218" s="65">
        <f>IF(MOD(A218,5)=0,D217+('Cálculos NBR9062 2017'!$B$45+'Cálculos NBR9062 2017'!$B$44),D217)</f>
        <v>658.5</v>
      </c>
      <c r="E218">
        <f t="shared" si="3"/>
        <v>0</v>
      </c>
    </row>
    <row r="219" spans="1:5" x14ac:dyDescent="0.25">
      <c r="A219" s="83">
        <v>208</v>
      </c>
      <c r="D219" s="65">
        <f>IF(MOD(A219,5)=0,D218+('Cálculos NBR9062 2017'!$B$45+'Cálculos NBR9062 2017'!$B$44),D218)</f>
        <v>658.5</v>
      </c>
      <c r="E219">
        <f t="shared" si="3"/>
        <v>0</v>
      </c>
    </row>
    <row r="220" spans="1:5" x14ac:dyDescent="0.25">
      <c r="A220" s="83">
        <v>209</v>
      </c>
      <c r="D220" s="65">
        <f>IF(MOD(A220,5)=0,D219+('Cálculos NBR9062 2017'!$B$45+'Cálculos NBR9062 2017'!$B$44),D219)</f>
        <v>658.5</v>
      </c>
      <c r="E220">
        <f t="shared" si="3"/>
        <v>0</v>
      </c>
    </row>
    <row r="221" spans="1:5" x14ac:dyDescent="0.25">
      <c r="A221" s="83">
        <v>210</v>
      </c>
      <c r="D221" s="65">
        <f>IF(MOD(A221,5)=0,D220+('Cálculos NBR9062 2017'!$B$45+'Cálculos NBR9062 2017'!$B$44),D220)</f>
        <v>674.5</v>
      </c>
      <c r="E221">
        <f t="shared" si="3"/>
        <v>0</v>
      </c>
    </row>
    <row r="222" spans="1:5" x14ac:dyDescent="0.25">
      <c r="A222" s="1">
        <v>211</v>
      </c>
      <c r="D222" s="65">
        <f>IF(MOD(A222,5)=0,D221+('Cálculos NBR9062 2017'!$B$45+'Cálculos NBR9062 2017'!$B$44),D221)</f>
        <v>674.5</v>
      </c>
      <c r="E222">
        <f t="shared" si="3"/>
        <v>0</v>
      </c>
    </row>
    <row r="223" spans="1:5" x14ac:dyDescent="0.25">
      <c r="A223" s="1">
        <v>212</v>
      </c>
      <c r="D223" s="65">
        <f>IF(MOD(A223,5)=0,D222+('Cálculos NBR9062 2017'!$B$45+'Cálculos NBR9062 2017'!$B$44),D222)</f>
        <v>674.5</v>
      </c>
      <c r="E223">
        <f t="shared" si="3"/>
        <v>0</v>
      </c>
    </row>
    <row r="224" spans="1:5" x14ac:dyDescent="0.25">
      <c r="A224" s="1">
        <v>213</v>
      </c>
      <c r="D224" s="65">
        <f>IF(MOD(A224,5)=0,D223+('Cálculos NBR9062 2017'!$B$45+'Cálculos NBR9062 2017'!$B$44),D223)</f>
        <v>674.5</v>
      </c>
      <c r="E224">
        <f t="shared" si="3"/>
        <v>0</v>
      </c>
    </row>
    <row r="225" spans="1:5" x14ac:dyDescent="0.25">
      <c r="A225" s="1">
        <v>214</v>
      </c>
      <c r="D225" s="65">
        <f>IF(MOD(A225,5)=0,D224+('Cálculos NBR9062 2017'!$B$45+'Cálculos NBR9062 2017'!$B$44),D224)</f>
        <v>674.5</v>
      </c>
      <c r="E225">
        <f t="shared" si="3"/>
        <v>0</v>
      </c>
    </row>
    <row r="226" spans="1:5" x14ac:dyDescent="0.25">
      <c r="A226" s="1">
        <v>215</v>
      </c>
      <c r="D226" s="65">
        <f>IF(MOD(A226,5)=0,D225+('Cálculos NBR9062 2017'!$B$45+'Cálculos NBR9062 2017'!$B$44),D225)</f>
        <v>690.5</v>
      </c>
      <c r="E226">
        <f t="shared" si="3"/>
        <v>0</v>
      </c>
    </row>
    <row r="227" spans="1:5" x14ac:dyDescent="0.25">
      <c r="A227" s="1">
        <v>216</v>
      </c>
      <c r="D227" s="65">
        <f>IF(MOD(A227,5)=0,D226+('Cálculos NBR9062 2017'!$B$45+'Cálculos NBR9062 2017'!$B$44),D226)</f>
        <v>690.5</v>
      </c>
      <c r="E227">
        <f t="shared" si="3"/>
        <v>0</v>
      </c>
    </row>
    <row r="228" spans="1:5" x14ac:dyDescent="0.25">
      <c r="A228" s="83">
        <v>217</v>
      </c>
      <c r="D228" s="65">
        <f>IF(MOD(A228,5)=0,D227+('Cálculos NBR9062 2017'!$B$45+'Cálculos NBR9062 2017'!$B$44),D227)</f>
        <v>690.5</v>
      </c>
      <c r="E228">
        <f t="shared" si="3"/>
        <v>0</v>
      </c>
    </row>
    <row r="229" spans="1:5" x14ac:dyDescent="0.25">
      <c r="A229" s="83">
        <v>218</v>
      </c>
      <c r="D229" s="65">
        <f>IF(MOD(A229,5)=0,D228+('Cálculos NBR9062 2017'!$B$45+'Cálculos NBR9062 2017'!$B$44),D228)</f>
        <v>690.5</v>
      </c>
      <c r="E229">
        <f t="shared" si="3"/>
        <v>0</v>
      </c>
    </row>
    <row r="230" spans="1:5" x14ac:dyDescent="0.25">
      <c r="A230" s="83">
        <v>219</v>
      </c>
      <c r="D230" s="65">
        <f>IF(MOD(A230,5)=0,D229+('Cálculos NBR9062 2017'!$B$45+'Cálculos NBR9062 2017'!$B$44),D229)</f>
        <v>690.5</v>
      </c>
      <c r="E230">
        <f t="shared" si="3"/>
        <v>0</v>
      </c>
    </row>
    <row r="231" spans="1:5" x14ac:dyDescent="0.25">
      <c r="A231" s="83">
        <v>220</v>
      </c>
      <c r="D231" s="65">
        <f>IF(MOD(A231,5)=0,D230+('Cálculos NBR9062 2017'!$B$45+'Cálculos NBR9062 2017'!$B$44),D230)</f>
        <v>706.5</v>
      </c>
      <c r="E231">
        <f t="shared" si="3"/>
        <v>0</v>
      </c>
    </row>
    <row r="232" spans="1:5" x14ac:dyDescent="0.25">
      <c r="A232" s="1">
        <v>221</v>
      </c>
      <c r="D232" s="65">
        <f>IF(MOD(A232,5)=0,D231+('Cálculos NBR9062 2017'!$B$45+'Cálculos NBR9062 2017'!$B$44),D231)</f>
        <v>706.5</v>
      </c>
      <c r="E232">
        <f t="shared" si="3"/>
        <v>0</v>
      </c>
    </row>
    <row r="233" spans="1:5" x14ac:dyDescent="0.25">
      <c r="A233" s="1">
        <v>222</v>
      </c>
      <c r="D233" s="65">
        <f>IF(MOD(A233,5)=0,D232+('Cálculos NBR9062 2017'!$B$45+'Cálculos NBR9062 2017'!$B$44),D232)</f>
        <v>706.5</v>
      </c>
      <c r="E233">
        <f t="shared" si="3"/>
        <v>0</v>
      </c>
    </row>
    <row r="234" spans="1:5" x14ac:dyDescent="0.25">
      <c r="A234" s="1">
        <v>223</v>
      </c>
      <c r="D234" s="65">
        <f>IF(MOD(A234,5)=0,D233+('Cálculos NBR9062 2017'!$B$45+'Cálculos NBR9062 2017'!$B$44),D233)</f>
        <v>706.5</v>
      </c>
      <c r="E234">
        <f t="shared" si="3"/>
        <v>0</v>
      </c>
    </row>
    <row r="235" spans="1:5" x14ac:dyDescent="0.25">
      <c r="A235" s="1">
        <v>224</v>
      </c>
      <c r="D235" s="65">
        <f>IF(MOD(A235,5)=0,D234+('Cálculos NBR9062 2017'!$B$45+'Cálculos NBR9062 2017'!$B$44),D234)</f>
        <v>706.5</v>
      </c>
      <c r="E235">
        <f t="shared" si="3"/>
        <v>0</v>
      </c>
    </row>
    <row r="236" spans="1:5" x14ac:dyDescent="0.25">
      <c r="A236" s="1">
        <v>225</v>
      </c>
      <c r="D236" s="65">
        <f>IF(MOD(A236,5)=0,D235+('Cálculos NBR9062 2017'!$B$45+'Cálculos NBR9062 2017'!$B$44),D235)</f>
        <v>722.5</v>
      </c>
      <c r="E236">
        <f t="shared" si="3"/>
        <v>0</v>
      </c>
    </row>
    <row r="237" spans="1:5" x14ac:dyDescent="0.25">
      <c r="A237" s="1">
        <v>226</v>
      </c>
      <c r="D237" s="65">
        <f>IF(MOD(A237,5)=0,D236+('Cálculos NBR9062 2017'!$B$45+'Cálculos NBR9062 2017'!$B$44),D236)</f>
        <v>722.5</v>
      </c>
      <c r="E237">
        <f t="shared" si="3"/>
        <v>0</v>
      </c>
    </row>
    <row r="238" spans="1:5" x14ac:dyDescent="0.25">
      <c r="A238" s="83">
        <v>227</v>
      </c>
      <c r="D238" s="65">
        <f>IF(MOD(A238,5)=0,D237+('Cálculos NBR9062 2017'!$B$45+'Cálculos NBR9062 2017'!$B$44),D237)</f>
        <v>722.5</v>
      </c>
      <c r="E238">
        <f t="shared" si="3"/>
        <v>0</v>
      </c>
    </row>
    <row r="239" spans="1:5" x14ac:dyDescent="0.25">
      <c r="A239" s="83">
        <v>228</v>
      </c>
      <c r="D239" s="65">
        <f>IF(MOD(A239,5)=0,D238+('Cálculos NBR9062 2017'!$B$45+'Cálculos NBR9062 2017'!$B$44),D238)</f>
        <v>722.5</v>
      </c>
      <c r="E239">
        <f t="shared" si="3"/>
        <v>0</v>
      </c>
    </row>
    <row r="240" spans="1:5" x14ac:dyDescent="0.25">
      <c r="A240" s="83">
        <v>229</v>
      </c>
      <c r="D240" s="65">
        <f>IF(MOD(A240,5)=0,D239+('Cálculos NBR9062 2017'!$B$45+'Cálculos NBR9062 2017'!$B$44),D239)</f>
        <v>722.5</v>
      </c>
      <c r="E240">
        <f t="shared" si="3"/>
        <v>0</v>
      </c>
    </row>
    <row r="241" spans="1:5" x14ac:dyDescent="0.25">
      <c r="A241" s="83">
        <v>230</v>
      </c>
      <c r="D241" s="65">
        <f>IF(MOD(A241,5)=0,D240+('Cálculos NBR9062 2017'!$B$45+'Cálculos NBR9062 2017'!$B$44),D240)</f>
        <v>738.5</v>
      </c>
      <c r="E241">
        <f t="shared" si="3"/>
        <v>0</v>
      </c>
    </row>
    <row r="242" spans="1:5" x14ac:dyDescent="0.25">
      <c r="A242" s="1">
        <v>231</v>
      </c>
      <c r="D242" s="65">
        <f>IF(MOD(A242,5)=0,D241+('Cálculos NBR9062 2017'!$B$45+'Cálculos NBR9062 2017'!$B$44),D241)</f>
        <v>738.5</v>
      </c>
      <c r="E242">
        <f t="shared" si="3"/>
        <v>0</v>
      </c>
    </row>
    <row r="243" spans="1:5" x14ac:dyDescent="0.25">
      <c r="A243" s="1">
        <v>232</v>
      </c>
      <c r="D243" s="65">
        <f>IF(MOD(A243,5)=0,D242+('Cálculos NBR9062 2017'!$B$45+'Cálculos NBR9062 2017'!$B$44),D242)</f>
        <v>738.5</v>
      </c>
      <c r="E243">
        <f t="shared" si="3"/>
        <v>0</v>
      </c>
    </row>
    <row r="244" spans="1:5" x14ac:dyDescent="0.25">
      <c r="A244" s="1">
        <v>233</v>
      </c>
      <c r="D244" s="65">
        <f>IF(MOD(A244,5)=0,D243+('Cálculos NBR9062 2017'!$B$45+'Cálculos NBR9062 2017'!$B$44),D243)</f>
        <v>738.5</v>
      </c>
      <c r="E244">
        <f t="shared" si="3"/>
        <v>0</v>
      </c>
    </row>
    <row r="245" spans="1:5" x14ac:dyDescent="0.25">
      <c r="A245" s="1">
        <v>234</v>
      </c>
      <c r="D245" s="65">
        <f>IF(MOD(A245,5)=0,D244+('Cálculos NBR9062 2017'!$B$45+'Cálculos NBR9062 2017'!$B$44),D244)</f>
        <v>738.5</v>
      </c>
      <c r="E245">
        <f t="shared" si="3"/>
        <v>0</v>
      </c>
    </row>
    <row r="246" spans="1:5" x14ac:dyDescent="0.25">
      <c r="A246" s="1">
        <v>235</v>
      </c>
      <c r="D246" s="65">
        <f>IF(MOD(A246,5)=0,D245+('Cálculos NBR9062 2017'!$B$45+'Cálculos NBR9062 2017'!$B$44),D245)</f>
        <v>754.5</v>
      </c>
      <c r="E246">
        <f t="shared" si="3"/>
        <v>0</v>
      </c>
    </row>
    <row r="247" spans="1:5" x14ac:dyDescent="0.25">
      <c r="A247" s="1">
        <v>236</v>
      </c>
      <c r="D247" s="65">
        <f>IF(MOD(A247,5)=0,D246+('Cálculos NBR9062 2017'!$B$45+'Cálculos NBR9062 2017'!$B$44),D246)</f>
        <v>754.5</v>
      </c>
      <c r="E247">
        <f t="shared" si="3"/>
        <v>0</v>
      </c>
    </row>
    <row r="248" spans="1:5" x14ac:dyDescent="0.25">
      <c r="A248" s="83">
        <v>237</v>
      </c>
      <c r="D248" s="65">
        <f>IF(MOD(A248,5)=0,D247+('Cálculos NBR9062 2017'!$B$45+'Cálculos NBR9062 2017'!$B$44),D247)</f>
        <v>754.5</v>
      </c>
      <c r="E248">
        <f t="shared" si="3"/>
        <v>0</v>
      </c>
    </row>
    <row r="249" spans="1:5" x14ac:dyDescent="0.25">
      <c r="A249" s="83">
        <v>238</v>
      </c>
      <c r="D249" s="65">
        <f>IF(MOD(A249,5)=0,D248+('Cálculos NBR9062 2017'!$B$45+'Cálculos NBR9062 2017'!$B$44),D248)</f>
        <v>754.5</v>
      </c>
      <c r="E249">
        <f t="shared" si="3"/>
        <v>0</v>
      </c>
    </row>
    <row r="250" spans="1:5" x14ac:dyDescent="0.25">
      <c r="A250" s="83">
        <v>239</v>
      </c>
      <c r="D250" s="65">
        <f>IF(MOD(A250,5)=0,D249+('Cálculos NBR9062 2017'!$B$45+'Cálculos NBR9062 2017'!$B$44),D249)</f>
        <v>754.5</v>
      </c>
      <c r="E250">
        <f t="shared" si="3"/>
        <v>0</v>
      </c>
    </row>
    <row r="251" spans="1:5" x14ac:dyDescent="0.25">
      <c r="A251" s="83">
        <v>240</v>
      </c>
      <c r="D251" s="65">
        <f>IF(MOD(A251,5)=0,D250+('Cálculos NBR9062 2017'!$B$45+'Cálculos NBR9062 2017'!$B$44),D250)</f>
        <v>770.5</v>
      </c>
      <c r="E251">
        <f t="shared" si="3"/>
        <v>0</v>
      </c>
    </row>
    <row r="252" spans="1:5" x14ac:dyDescent="0.25">
      <c r="A252" s="1">
        <v>241</v>
      </c>
      <c r="D252" s="65">
        <f>IF(MOD(A252,5)=0,D251+('Cálculos NBR9062 2017'!$B$45+'Cálculos NBR9062 2017'!$B$44),D251)</f>
        <v>770.5</v>
      </c>
      <c r="E252">
        <f t="shared" si="3"/>
        <v>0</v>
      </c>
    </row>
    <row r="253" spans="1:5" x14ac:dyDescent="0.25">
      <c r="A253" s="1">
        <v>242</v>
      </c>
      <c r="D253" s="65">
        <f>IF(MOD(A253,5)=0,D252+('Cálculos NBR9062 2017'!$B$45+'Cálculos NBR9062 2017'!$B$44),D252)</f>
        <v>770.5</v>
      </c>
      <c r="E253">
        <f t="shared" si="3"/>
        <v>0</v>
      </c>
    </row>
    <row r="254" spans="1:5" x14ac:dyDescent="0.25">
      <c r="A254" s="1">
        <v>243</v>
      </c>
      <c r="D254" s="65">
        <f>IF(MOD(A254,5)=0,D253+('Cálculos NBR9062 2017'!$B$45+'Cálculos NBR9062 2017'!$B$44),D253)</f>
        <v>770.5</v>
      </c>
      <c r="E254">
        <f t="shared" si="3"/>
        <v>0</v>
      </c>
    </row>
    <row r="255" spans="1:5" x14ac:dyDescent="0.25">
      <c r="A255" s="1">
        <v>244</v>
      </c>
      <c r="D255" s="65">
        <f>IF(MOD(A255,5)=0,D254+('Cálculos NBR9062 2017'!$B$45+'Cálculos NBR9062 2017'!$B$44),D254)</f>
        <v>770.5</v>
      </c>
      <c r="E255">
        <f t="shared" si="3"/>
        <v>0</v>
      </c>
    </row>
    <row r="256" spans="1:5" x14ac:dyDescent="0.25">
      <c r="A256" s="1">
        <v>245</v>
      </c>
      <c r="D256" s="65">
        <f>IF(MOD(A256,5)=0,D255+('Cálculos NBR9062 2017'!$B$45+'Cálculos NBR9062 2017'!$B$44),D255)</f>
        <v>786.5</v>
      </c>
      <c r="E256">
        <f t="shared" si="3"/>
        <v>0</v>
      </c>
    </row>
    <row r="257" spans="1:5" x14ac:dyDescent="0.25">
      <c r="A257" s="1">
        <v>246</v>
      </c>
      <c r="D257" s="65">
        <f>IF(MOD(A257,5)=0,D256+('Cálculos NBR9062 2017'!$B$45+'Cálculos NBR9062 2017'!$B$44),D256)</f>
        <v>786.5</v>
      </c>
      <c r="E257">
        <f t="shared" si="3"/>
        <v>0</v>
      </c>
    </row>
    <row r="258" spans="1:5" x14ac:dyDescent="0.25">
      <c r="A258" s="83">
        <v>247</v>
      </c>
      <c r="D258" s="65">
        <f>IF(MOD(A258,5)=0,D257+('Cálculos NBR9062 2017'!$B$45+'Cálculos NBR9062 2017'!$B$44),D257)</f>
        <v>786.5</v>
      </c>
      <c r="E258">
        <f t="shared" si="3"/>
        <v>0</v>
      </c>
    </row>
    <row r="259" spans="1:5" x14ac:dyDescent="0.25">
      <c r="A259" s="83">
        <v>248</v>
      </c>
      <c r="D259" s="65">
        <f>IF(MOD(A259,5)=0,D258+('Cálculos NBR9062 2017'!$B$45+'Cálculos NBR9062 2017'!$B$44),D258)</f>
        <v>786.5</v>
      </c>
      <c r="E259">
        <f t="shared" si="3"/>
        <v>0</v>
      </c>
    </row>
    <row r="260" spans="1:5" x14ac:dyDescent="0.25">
      <c r="A260" s="83">
        <v>249</v>
      </c>
      <c r="D260" s="65">
        <f>IF(MOD(A260,5)=0,D259+('Cálculos NBR9062 2017'!$B$45+'Cálculos NBR9062 2017'!$B$44),D259)</f>
        <v>786.5</v>
      </c>
      <c r="E260">
        <f t="shared" si="3"/>
        <v>0</v>
      </c>
    </row>
    <row r="261" spans="1:5" x14ac:dyDescent="0.25">
      <c r="A261" s="83">
        <v>250</v>
      </c>
      <c r="D261" s="65">
        <f>IF(MOD(A261,5)=0,D260+('Cálculos NBR9062 2017'!$B$45+'Cálculos NBR9062 2017'!$B$44),D260)</f>
        <v>802.5</v>
      </c>
      <c r="E261">
        <f t="shared" si="3"/>
        <v>0</v>
      </c>
    </row>
    <row r="262" spans="1:5" x14ac:dyDescent="0.25">
      <c r="A262" s="1">
        <v>251</v>
      </c>
      <c r="D262" s="65">
        <f>IF(MOD(A262,5)=0,D261+('Cálculos NBR9062 2017'!$B$45+'Cálculos NBR9062 2017'!$B$44),D261)</f>
        <v>802.5</v>
      </c>
      <c r="E262">
        <f t="shared" si="3"/>
        <v>0</v>
      </c>
    </row>
    <row r="263" spans="1:5" x14ac:dyDescent="0.25">
      <c r="A263" s="1">
        <v>252</v>
      </c>
      <c r="D263" s="65">
        <f>IF(MOD(A263,5)=0,D262+('Cálculos NBR9062 2017'!$B$45+'Cálculos NBR9062 2017'!$B$44),D262)</f>
        <v>802.5</v>
      </c>
      <c r="E263">
        <f t="shared" si="3"/>
        <v>0</v>
      </c>
    </row>
    <row r="264" spans="1:5" x14ac:dyDescent="0.25">
      <c r="A264" s="1">
        <v>253</v>
      </c>
      <c r="D264" s="65">
        <f>IF(MOD(A264,5)=0,D263+('Cálculos NBR9062 2017'!$B$45+'Cálculos NBR9062 2017'!$B$44),D263)</f>
        <v>802.5</v>
      </c>
      <c r="E264">
        <f t="shared" si="3"/>
        <v>0</v>
      </c>
    </row>
    <row r="265" spans="1:5" x14ac:dyDescent="0.25">
      <c r="A265" s="1">
        <v>254</v>
      </c>
      <c r="D265" s="65">
        <f>IF(MOD(A265,5)=0,D264+('Cálculos NBR9062 2017'!$B$45+'Cálculos NBR9062 2017'!$B$44),D264)</f>
        <v>802.5</v>
      </c>
      <c r="E265">
        <f t="shared" si="3"/>
        <v>0</v>
      </c>
    </row>
    <row r="266" spans="1:5" x14ac:dyDescent="0.25">
      <c r="A266" s="1">
        <v>255</v>
      </c>
      <c r="D266" s="65">
        <f>IF(MOD(A266,5)=0,D265+('Cálculos NBR9062 2017'!$B$45+'Cálculos NBR9062 2017'!$B$44),D265)</f>
        <v>818.5</v>
      </c>
      <c r="E266">
        <f t="shared" si="3"/>
        <v>0</v>
      </c>
    </row>
    <row r="267" spans="1:5" x14ac:dyDescent="0.25">
      <c r="A267" s="1">
        <v>256</v>
      </c>
      <c r="D267" s="65">
        <f>IF(MOD(A267,5)=0,D266+('Cálculos NBR9062 2017'!$B$45+'Cálculos NBR9062 2017'!$B$44),D266)</f>
        <v>818.5</v>
      </c>
      <c r="E267">
        <f t="shared" si="3"/>
        <v>0</v>
      </c>
    </row>
    <row r="268" spans="1:5" x14ac:dyDescent="0.25">
      <c r="A268" s="83">
        <v>257</v>
      </c>
      <c r="D268" s="65">
        <f>IF(MOD(A268,5)=0,D267+('Cálculos NBR9062 2017'!$B$45+'Cálculos NBR9062 2017'!$B$44),D267)</f>
        <v>818.5</v>
      </c>
      <c r="E268">
        <f t="shared" si="3"/>
        <v>0</v>
      </c>
    </row>
    <row r="269" spans="1:5" x14ac:dyDescent="0.25">
      <c r="A269" s="83">
        <v>258</v>
      </c>
      <c r="D269" s="65">
        <f>IF(MOD(A269,5)=0,D268+('Cálculos NBR9062 2017'!$B$45+'Cálculos NBR9062 2017'!$B$44),D268)</f>
        <v>818.5</v>
      </c>
      <c r="E269">
        <f t="shared" si="3"/>
        <v>0</v>
      </c>
    </row>
    <row r="270" spans="1:5" x14ac:dyDescent="0.25">
      <c r="A270" s="83">
        <v>259</v>
      </c>
      <c r="D270" s="65">
        <f>IF(MOD(A270,5)=0,D269+('Cálculos NBR9062 2017'!$B$45+'Cálculos NBR9062 2017'!$B$44),D269)</f>
        <v>818.5</v>
      </c>
      <c r="E270">
        <f t="shared" ref="E270:E291" si="4">IF(E269=0,0,IF(MOD(A269,5)=0,IF(A269/5&gt;$E$10,0,1),1))</f>
        <v>0</v>
      </c>
    </row>
    <row r="271" spans="1:5" x14ac:dyDescent="0.25">
      <c r="A271" s="83">
        <v>260</v>
      </c>
      <c r="D271" s="65">
        <f>IF(MOD(A271,5)=0,D270+('Cálculos NBR9062 2017'!$B$45+'Cálculos NBR9062 2017'!$B$44),D270)</f>
        <v>834.5</v>
      </c>
      <c r="E271">
        <f t="shared" si="4"/>
        <v>0</v>
      </c>
    </row>
    <row r="272" spans="1:5" x14ac:dyDescent="0.25">
      <c r="A272" s="1">
        <v>261</v>
      </c>
      <c r="D272" s="65">
        <f>IF(MOD(A272,5)=0,D271+('Cálculos NBR9062 2017'!$B$45+'Cálculos NBR9062 2017'!$B$44),D271)</f>
        <v>834.5</v>
      </c>
      <c r="E272">
        <f t="shared" si="4"/>
        <v>0</v>
      </c>
    </row>
    <row r="273" spans="1:5" x14ac:dyDescent="0.25">
      <c r="A273" s="1">
        <v>262</v>
      </c>
      <c r="D273" s="65">
        <f>IF(MOD(A273,5)=0,D272+('Cálculos NBR9062 2017'!$B$45+'Cálculos NBR9062 2017'!$B$44),D272)</f>
        <v>834.5</v>
      </c>
      <c r="E273">
        <f t="shared" si="4"/>
        <v>0</v>
      </c>
    </row>
    <row r="274" spans="1:5" x14ac:dyDescent="0.25">
      <c r="A274" s="1">
        <v>263</v>
      </c>
      <c r="D274" s="65">
        <f>IF(MOD(A274,5)=0,D273+('Cálculos NBR9062 2017'!$B$45+'Cálculos NBR9062 2017'!$B$44),D273)</f>
        <v>834.5</v>
      </c>
      <c r="E274">
        <f t="shared" si="4"/>
        <v>0</v>
      </c>
    </row>
    <row r="275" spans="1:5" x14ac:dyDescent="0.25">
      <c r="A275" s="1">
        <v>264</v>
      </c>
      <c r="D275" s="65">
        <f>IF(MOD(A275,5)=0,D274+('Cálculos NBR9062 2017'!$B$45+'Cálculos NBR9062 2017'!$B$44),D274)</f>
        <v>834.5</v>
      </c>
      <c r="E275">
        <f t="shared" si="4"/>
        <v>0</v>
      </c>
    </row>
    <row r="276" spans="1:5" x14ac:dyDescent="0.25">
      <c r="A276" s="1">
        <v>265</v>
      </c>
      <c r="D276" s="65">
        <f>IF(MOD(A276,5)=0,D275+('Cálculos NBR9062 2017'!$B$45+'Cálculos NBR9062 2017'!$B$44),D275)</f>
        <v>850.5</v>
      </c>
      <c r="E276">
        <f t="shared" si="4"/>
        <v>0</v>
      </c>
    </row>
    <row r="277" spans="1:5" x14ac:dyDescent="0.25">
      <c r="A277" s="1">
        <v>266</v>
      </c>
      <c r="D277" s="65">
        <f>IF(MOD(A277,5)=0,D276+('Cálculos NBR9062 2017'!$B$45+'Cálculos NBR9062 2017'!$B$44),D276)</f>
        <v>850.5</v>
      </c>
      <c r="E277">
        <f t="shared" si="4"/>
        <v>0</v>
      </c>
    </row>
    <row r="278" spans="1:5" x14ac:dyDescent="0.25">
      <c r="A278" s="83">
        <v>267</v>
      </c>
      <c r="D278" s="65">
        <f>IF(MOD(A278,5)=0,D277+('Cálculos NBR9062 2017'!$B$45+'Cálculos NBR9062 2017'!$B$44),D277)</f>
        <v>850.5</v>
      </c>
      <c r="E278">
        <f t="shared" si="4"/>
        <v>0</v>
      </c>
    </row>
    <row r="279" spans="1:5" x14ac:dyDescent="0.25">
      <c r="A279" s="83">
        <v>268</v>
      </c>
      <c r="D279" s="65">
        <f>IF(MOD(A279,5)=0,D278+('Cálculos NBR9062 2017'!$B$45+'Cálculos NBR9062 2017'!$B$44),D278)</f>
        <v>850.5</v>
      </c>
      <c r="E279">
        <f t="shared" si="4"/>
        <v>0</v>
      </c>
    </row>
    <row r="280" spans="1:5" x14ac:dyDescent="0.25">
      <c r="A280" s="83">
        <v>269</v>
      </c>
      <c r="D280" s="65">
        <f>IF(MOD(A280,5)=0,D279+('Cálculos NBR9062 2017'!$B$45+'Cálculos NBR9062 2017'!$B$44),D279)</f>
        <v>850.5</v>
      </c>
      <c r="E280">
        <f t="shared" si="4"/>
        <v>0</v>
      </c>
    </row>
    <row r="281" spans="1:5" x14ac:dyDescent="0.25">
      <c r="A281" s="83">
        <v>270</v>
      </c>
      <c r="D281" s="65">
        <f>IF(MOD(A281,5)=0,D280+('Cálculos NBR9062 2017'!$B$45+'Cálculos NBR9062 2017'!$B$44),D280)</f>
        <v>866.5</v>
      </c>
      <c r="E281">
        <f t="shared" si="4"/>
        <v>0</v>
      </c>
    </row>
    <row r="282" spans="1:5" x14ac:dyDescent="0.25">
      <c r="A282" s="1">
        <v>271</v>
      </c>
      <c r="D282" s="65">
        <f>IF(MOD(A282,5)=0,D281+('Cálculos NBR9062 2017'!$B$45+'Cálculos NBR9062 2017'!$B$44),D281)</f>
        <v>866.5</v>
      </c>
      <c r="E282">
        <f t="shared" si="4"/>
        <v>0</v>
      </c>
    </row>
    <row r="283" spans="1:5" x14ac:dyDescent="0.25">
      <c r="A283" s="1">
        <v>272</v>
      </c>
      <c r="D283" s="65">
        <f>IF(MOD(A283,5)=0,D282+('Cálculos NBR9062 2017'!$B$45+'Cálculos NBR9062 2017'!$B$44),D282)</f>
        <v>866.5</v>
      </c>
      <c r="E283">
        <f t="shared" si="4"/>
        <v>0</v>
      </c>
    </row>
    <row r="284" spans="1:5" x14ac:dyDescent="0.25">
      <c r="A284" s="1">
        <v>273</v>
      </c>
      <c r="D284" s="65">
        <f>IF(MOD(A284,5)=0,D283+('Cálculos NBR9062 2017'!$B$45+'Cálculos NBR9062 2017'!$B$44),D283)</f>
        <v>866.5</v>
      </c>
      <c r="E284">
        <f t="shared" si="4"/>
        <v>0</v>
      </c>
    </row>
    <row r="285" spans="1:5" x14ac:dyDescent="0.25">
      <c r="A285" s="1">
        <v>274</v>
      </c>
      <c r="D285" s="65">
        <f>IF(MOD(A285,5)=0,D284+('Cálculos NBR9062 2017'!$B$45+'Cálculos NBR9062 2017'!$B$44),D284)</f>
        <v>866.5</v>
      </c>
      <c r="E285">
        <f t="shared" si="4"/>
        <v>0</v>
      </c>
    </row>
    <row r="286" spans="1:5" x14ac:dyDescent="0.25">
      <c r="A286" s="1">
        <v>275</v>
      </c>
      <c r="D286" s="65">
        <f>IF(MOD(A286,5)=0,D285+('Cálculos NBR9062 2017'!$B$45+'Cálculos NBR9062 2017'!$B$44),D285)</f>
        <v>882.5</v>
      </c>
      <c r="E286">
        <f t="shared" si="4"/>
        <v>0</v>
      </c>
    </row>
    <row r="287" spans="1:5" x14ac:dyDescent="0.25">
      <c r="A287" s="1">
        <v>276</v>
      </c>
      <c r="D287" s="65">
        <f>IF(MOD(A287,5)=0,D286+('Cálculos NBR9062 2017'!$B$45+'Cálculos NBR9062 2017'!$B$44),D286)</f>
        <v>882.5</v>
      </c>
      <c r="E287">
        <f t="shared" si="4"/>
        <v>0</v>
      </c>
    </row>
    <row r="288" spans="1:5" x14ac:dyDescent="0.25">
      <c r="A288" s="83">
        <v>277</v>
      </c>
      <c r="D288" s="65">
        <f>IF(MOD(A288,5)=0,D287+('Cálculos NBR9062 2017'!$B$45+'Cálculos NBR9062 2017'!$B$44),D287)</f>
        <v>882.5</v>
      </c>
      <c r="E288">
        <f t="shared" si="4"/>
        <v>0</v>
      </c>
    </row>
    <row r="289" spans="1:5" x14ac:dyDescent="0.25">
      <c r="A289" s="83">
        <v>278</v>
      </c>
      <c r="D289" s="65">
        <f>IF(MOD(A289,5)=0,D288+('Cálculos NBR9062 2017'!$B$45+'Cálculos NBR9062 2017'!$B$44),D288)</f>
        <v>882.5</v>
      </c>
      <c r="E289">
        <f t="shared" si="4"/>
        <v>0</v>
      </c>
    </row>
    <row r="290" spans="1:5" x14ac:dyDescent="0.25">
      <c r="A290" s="83">
        <v>279</v>
      </c>
      <c r="D290" s="65">
        <f>IF(MOD(A290,5)=0,D289+('Cálculos NBR9062 2017'!$B$45+'Cálculos NBR9062 2017'!$B$44),D289)</f>
        <v>882.5</v>
      </c>
      <c r="E290">
        <f t="shared" si="4"/>
        <v>0</v>
      </c>
    </row>
    <row r="291" spans="1:5" x14ac:dyDescent="0.25">
      <c r="A291" s="83">
        <v>280</v>
      </c>
      <c r="D291" s="65">
        <f>IF(MOD(A291,5)=0,D290+('Cálculos NBR9062 2017'!$B$45+'Cálculos NBR9062 2017'!$B$44),D290)</f>
        <v>898.5</v>
      </c>
      <c r="E291">
        <f t="shared" si="4"/>
        <v>0</v>
      </c>
    </row>
  </sheetData>
  <mergeCells count="2">
    <mergeCell ref="A2:C2"/>
    <mergeCell ref="A10:C10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Cálculos NBR9062 2017</vt:lpstr>
      <vt:lpstr>Dados</vt:lpstr>
      <vt:lpstr>AparelhoApoioNBR</vt:lpstr>
      <vt:lpstr>Table1</vt:lpstr>
      <vt:lpstr>Tablet1</vt:lpstr>
      <vt:lpstr>Tablet2</vt:lpstr>
      <vt:lpstr>Test3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Wosniak-03-Users</dc:creator>
  <cp:lastModifiedBy>Wosniak Engenharia</cp:lastModifiedBy>
  <cp:lastPrinted>2025-01-20T14:49:45Z</cp:lastPrinted>
  <dcterms:created xsi:type="dcterms:W3CDTF">2015-06-05T18:19:34Z</dcterms:created>
  <dcterms:modified xsi:type="dcterms:W3CDTF">2025-01-23T20:21:16Z</dcterms:modified>
</cp:coreProperties>
</file>