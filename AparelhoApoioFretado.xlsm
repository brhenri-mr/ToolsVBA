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osniak-03\OneDrive\Área de Trabalho\"/>
    </mc:Choice>
  </mc:AlternateContent>
  <xr:revisionPtr revIDLastSave="0" documentId="13_ncr:1_{8D65C5BC-702F-44E8-9664-9579A250331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álculos NBR9062 2017" sheetId="1" r:id="rId1"/>
    <sheet name="Cálculos Eurocode" sheetId="6" r:id="rId2"/>
    <sheet name="Dados" sheetId="2" r:id="rId3"/>
  </sheets>
  <functionGroups builtInGroupCount="19"/>
  <definedNames>
    <definedName name="EUROCALCULOS">'Cálculos Eurocode'!$A$75:$I$141</definedName>
    <definedName name="NBRCALCULOS">'Cálculos NBR9062 2017'!$A$65:$I$148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3" i="2" l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10" i="2"/>
  <c r="E10" i="2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R6" i="2"/>
  <c r="W291" i="2"/>
  <c r="V291" i="2"/>
  <c r="W290" i="2"/>
  <c r="V290" i="2"/>
  <c r="W289" i="2"/>
  <c r="V289" i="2"/>
  <c r="W288" i="2"/>
  <c r="V288" i="2"/>
  <c r="W287" i="2"/>
  <c r="V287" i="2"/>
  <c r="W286" i="2"/>
  <c r="V286" i="2"/>
  <c r="W285" i="2"/>
  <c r="V285" i="2"/>
  <c r="W284" i="2"/>
  <c r="V284" i="2"/>
  <c r="W283" i="2"/>
  <c r="V283" i="2"/>
  <c r="W282" i="2"/>
  <c r="V282" i="2"/>
  <c r="W281" i="2"/>
  <c r="V281" i="2"/>
  <c r="W280" i="2"/>
  <c r="V280" i="2"/>
  <c r="W279" i="2"/>
  <c r="V279" i="2"/>
  <c r="W278" i="2"/>
  <c r="V278" i="2"/>
  <c r="W277" i="2"/>
  <c r="V277" i="2"/>
  <c r="W276" i="2"/>
  <c r="V276" i="2"/>
  <c r="W275" i="2"/>
  <c r="V275" i="2"/>
  <c r="W274" i="2"/>
  <c r="V274" i="2"/>
  <c r="W273" i="2"/>
  <c r="V273" i="2"/>
  <c r="W272" i="2"/>
  <c r="V272" i="2"/>
  <c r="W271" i="2"/>
  <c r="V271" i="2"/>
  <c r="W270" i="2"/>
  <c r="V270" i="2"/>
  <c r="W269" i="2"/>
  <c r="V269" i="2"/>
  <c r="W268" i="2"/>
  <c r="V268" i="2"/>
  <c r="W267" i="2"/>
  <c r="V267" i="2"/>
  <c r="W266" i="2"/>
  <c r="V266" i="2"/>
  <c r="W265" i="2"/>
  <c r="V265" i="2"/>
  <c r="W264" i="2"/>
  <c r="V264" i="2"/>
  <c r="W263" i="2"/>
  <c r="V263" i="2"/>
  <c r="W262" i="2"/>
  <c r="V262" i="2"/>
  <c r="W261" i="2"/>
  <c r="V261" i="2"/>
  <c r="W260" i="2"/>
  <c r="V260" i="2"/>
  <c r="W259" i="2"/>
  <c r="V259" i="2"/>
  <c r="W258" i="2"/>
  <c r="V258" i="2"/>
  <c r="W257" i="2"/>
  <c r="V257" i="2"/>
  <c r="W256" i="2"/>
  <c r="V256" i="2"/>
  <c r="W255" i="2"/>
  <c r="V255" i="2"/>
  <c r="W254" i="2"/>
  <c r="V254" i="2"/>
  <c r="W253" i="2"/>
  <c r="V253" i="2"/>
  <c r="W252" i="2"/>
  <c r="V252" i="2"/>
  <c r="W251" i="2"/>
  <c r="V251" i="2"/>
  <c r="W250" i="2"/>
  <c r="V250" i="2"/>
  <c r="W249" i="2"/>
  <c r="V249" i="2"/>
  <c r="W248" i="2"/>
  <c r="V248" i="2"/>
  <c r="W247" i="2"/>
  <c r="V247" i="2"/>
  <c r="W246" i="2"/>
  <c r="V246" i="2"/>
  <c r="W245" i="2"/>
  <c r="V245" i="2"/>
  <c r="W244" i="2"/>
  <c r="V244" i="2"/>
  <c r="W243" i="2"/>
  <c r="V243" i="2"/>
  <c r="W242" i="2"/>
  <c r="V242" i="2"/>
  <c r="W241" i="2"/>
  <c r="V241" i="2"/>
  <c r="W240" i="2"/>
  <c r="V240" i="2"/>
  <c r="W239" i="2"/>
  <c r="V239" i="2"/>
  <c r="W238" i="2"/>
  <c r="V238" i="2"/>
  <c r="W237" i="2"/>
  <c r="V237" i="2"/>
  <c r="W236" i="2"/>
  <c r="V236" i="2"/>
  <c r="W235" i="2"/>
  <c r="V235" i="2"/>
  <c r="W234" i="2"/>
  <c r="V234" i="2"/>
  <c r="W233" i="2"/>
  <c r="V233" i="2"/>
  <c r="W232" i="2"/>
  <c r="V232" i="2"/>
  <c r="W231" i="2"/>
  <c r="V231" i="2"/>
  <c r="W230" i="2"/>
  <c r="V230" i="2"/>
  <c r="W229" i="2"/>
  <c r="V229" i="2"/>
  <c r="W228" i="2"/>
  <c r="V228" i="2"/>
  <c r="W227" i="2"/>
  <c r="V227" i="2"/>
  <c r="W226" i="2"/>
  <c r="V226" i="2"/>
  <c r="W225" i="2"/>
  <c r="V225" i="2"/>
  <c r="W224" i="2"/>
  <c r="V224" i="2"/>
  <c r="W223" i="2"/>
  <c r="V223" i="2"/>
  <c r="W222" i="2"/>
  <c r="V222" i="2"/>
  <c r="W221" i="2"/>
  <c r="V221" i="2"/>
  <c r="W220" i="2"/>
  <c r="V220" i="2"/>
  <c r="W219" i="2"/>
  <c r="V219" i="2"/>
  <c r="W218" i="2"/>
  <c r="V218" i="2"/>
  <c r="W217" i="2"/>
  <c r="V217" i="2"/>
  <c r="W216" i="2"/>
  <c r="V216" i="2"/>
  <c r="W215" i="2"/>
  <c r="V215" i="2"/>
  <c r="W214" i="2"/>
  <c r="V214" i="2"/>
  <c r="W213" i="2"/>
  <c r="V213" i="2"/>
  <c r="W212" i="2"/>
  <c r="V212" i="2"/>
  <c r="W211" i="2"/>
  <c r="V211" i="2"/>
  <c r="W210" i="2"/>
  <c r="V210" i="2"/>
  <c r="W209" i="2"/>
  <c r="V209" i="2"/>
  <c r="W208" i="2"/>
  <c r="V208" i="2"/>
  <c r="W207" i="2"/>
  <c r="V207" i="2"/>
  <c r="W206" i="2"/>
  <c r="V206" i="2"/>
  <c r="W205" i="2"/>
  <c r="V205" i="2"/>
  <c r="W204" i="2"/>
  <c r="V204" i="2"/>
  <c r="W203" i="2"/>
  <c r="V203" i="2"/>
  <c r="W202" i="2"/>
  <c r="V202" i="2"/>
  <c r="W201" i="2"/>
  <c r="V201" i="2"/>
  <c r="W200" i="2"/>
  <c r="V200" i="2"/>
  <c r="W199" i="2"/>
  <c r="V199" i="2"/>
  <c r="W198" i="2"/>
  <c r="V198" i="2"/>
  <c r="W197" i="2"/>
  <c r="V197" i="2"/>
  <c r="W196" i="2"/>
  <c r="V196" i="2"/>
  <c r="W195" i="2"/>
  <c r="V195" i="2"/>
  <c r="W194" i="2"/>
  <c r="V194" i="2"/>
  <c r="W193" i="2"/>
  <c r="V193" i="2"/>
  <c r="W192" i="2"/>
  <c r="V192" i="2"/>
  <c r="W191" i="2"/>
  <c r="V191" i="2"/>
  <c r="W190" i="2"/>
  <c r="V190" i="2"/>
  <c r="W189" i="2"/>
  <c r="V189" i="2"/>
  <c r="W188" i="2"/>
  <c r="V188" i="2"/>
  <c r="W187" i="2"/>
  <c r="V187" i="2"/>
  <c r="W186" i="2"/>
  <c r="V186" i="2"/>
  <c r="W185" i="2"/>
  <c r="V185" i="2"/>
  <c r="W184" i="2"/>
  <c r="V184" i="2"/>
  <c r="W183" i="2"/>
  <c r="V183" i="2"/>
  <c r="W182" i="2"/>
  <c r="V182" i="2"/>
  <c r="W181" i="2"/>
  <c r="V181" i="2"/>
  <c r="W180" i="2"/>
  <c r="V180" i="2"/>
  <c r="W179" i="2"/>
  <c r="V179" i="2"/>
  <c r="W178" i="2"/>
  <c r="V178" i="2"/>
  <c r="W177" i="2"/>
  <c r="V177" i="2"/>
  <c r="W176" i="2"/>
  <c r="V176" i="2"/>
  <c r="W175" i="2"/>
  <c r="V175" i="2"/>
  <c r="W174" i="2"/>
  <c r="V174" i="2"/>
  <c r="W173" i="2"/>
  <c r="V173" i="2"/>
  <c r="W172" i="2"/>
  <c r="V172" i="2"/>
  <c r="W171" i="2"/>
  <c r="V171" i="2"/>
  <c r="W170" i="2"/>
  <c r="V170" i="2"/>
  <c r="W169" i="2"/>
  <c r="V169" i="2"/>
  <c r="W168" i="2"/>
  <c r="V168" i="2"/>
  <c r="W167" i="2"/>
  <c r="V167" i="2"/>
  <c r="W166" i="2"/>
  <c r="V166" i="2"/>
  <c r="W165" i="2"/>
  <c r="V165" i="2"/>
  <c r="W164" i="2"/>
  <c r="V164" i="2"/>
  <c r="W163" i="2"/>
  <c r="V163" i="2"/>
  <c r="W162" i="2"/>
  <c r="V162" i="2"/>
  <c r="W161" i="2"/>
  <c r="V161" i="2"/>
  <c r="W160" i="2"/>
  <c r="V160" i="2"/>
  <c r="W159" i="2"/>
  <c r="V159" i="2"/>
  <c r="W158" i="2"/>
  <c r="V158" i="2"/>
  <c r="W157" i="2"/>
  <c r="V157" i="2"/>
  <c r="W156" i="2"/>
  <c r="V156" i="2"/>
  <c r="W155" i="2"/>
  <c r="V155" i="2"/>
  <c r="W154" i="2"/>
  <c r="V154" i="2"/>
  <c r="W153" i="2"/>
  <c r="V153" i="2"/>
  <c r="W152" i="2"/>
  <c r="V152" i="2"/>
  <c r="W151" i="2"/>
  <c r="V151" i="2"/>
  <c r="W150" i="2"/>
  <c r="V150" i="2"/>
  <c r="W149" i="2"/>
  <c r="V149" i="2"/>
  <c r="W148" i="2"/>
  <c r="V148" i="2"/>
  <c r="W147" i="2"/>
  <c r="V147" i="2"/>
  <c r="W146" i="2"/>
  <c r="V146" i="2"/>
  <c r="W145" i="2"/>
  <c r="V145" i="2"/>
  <c r="W144" i="2"/>
  <c r="V144" i="2"/>
  <c r="W143" i="2"/>
  <c r="V143" i="2"/>
  <c r="W142" i="2"/>
  <c r="V142" i="2"/>
  <c r="W141" i="2"/>
  <c r="V141" i="2"/>
  <c r="W140" i="2"/>
  <c r="V140" i="2"/>
  <c r="W139" i="2"/>
  <c r="V139" i="2"/>
  <c r="W138" i="2"/>
  <c r="V138" i="2"/>
  <c r="W137" i="2"/>
  <c r="V137" i="2"/>
  <c r="W136" i="2"/>
  <c r="V136" i="2"/>
  <c r="W135" i="2"/>
  <c r="V135" i="2"/>
  <c r="W134" i="2"/>
  <c r="V134" i="2"/>
  <c r="W133" i="2"/>
  <c r="V133" i="2"/>
  <c r="W132" i="2"/>
  <c r="V132" i="2"/>
  <c r="W131" i="2"/>
  <c r="V131" i="2"/>
  <c r="W130" i="2"/>
  <c r="V130" i="2"/>
  <c r="W129" i="2"/>
  <c r="V129" i="2"/>
  <c r="W128" i="2"/>
  <c r="V128" i="2"/>
  <c r="W127" i="2"/>
  <c r="V127" i="2"/>
  <c r="W126" i="2"/>
  <c r="V126" i="2"/>
  <c r="W125" i="2"/>
  <c r="V125" i="2"/>
  <c r="W124" i="2"/>
  <c r="V124" i="2"/>
  <c r="W123" i="2"/>
  <c r="V123" i="2"/>
  <c r="W122" i="2"/>
  <c r="V122" i="2"/>
  <c r="W121" i="2"/>
  <c r="V121" i="2"/>
  <c r="W120" i="2"/>
  <c r="V120" i="2"/>
  <c r="W119" i="2"/>
  <c r="V119" i="2"/>
  <c r="W118" i="2"/>
  <c r="V118" i="2"/>
  <c r="W117" i="2"/>
  <c r="V117" i="2"/>
  <c r="W116" i="2"/>
  <c r="V116" i="2"/>
  <c r="W115" i="2"/>
  <c r="V115" i="2"/>
  <c r="W114" i="2"/>
  <c r="V114" i="2"/>
  <c r="W113" i="2"/>
  <c r="V113" i="2"/>
  <c r="W112" i="2"/>
  <c r="V112" i="2"/>
  <c r="W111" i="2"/>
  <c r="V111" i="2"/>
  <c r="W110" i="2"/>
  <c r="V110" i="2"/>
  <c r="W109" i="2"/>
  <c r="V109" i="2"/>
  <c r="W108" i="2"/>
  <c r="V108" i="2"/>
  <c r="W107" i="2"/>
  <c r="V107" i="2"/>
  <c r="W106" i="2"/>
  <c r="V106" i="2"/>
  <c r="W105" i="2"/>
  <c r="V105" i="2"/>
  <c r="W104" i="2"/>
  <c r="V104" i="2"/>
  <c r="W103" i="2"/>
  <c r="V103" i="2"/>
  <c r="W102" i="2"/>
  <c r="V102" i="2"/>
  <c r="W101" i="2"/>
  <c r="V101" i="2"/>
  <c r="W100" i="2"/>
  <c r="V100" i="2"/>
  <c r="W99" i="2"/>
  <c r="V99" i="2"/>
  <c r="W98" i="2"/>
  <c r="V98" i="2"/>
  <c r="W97" i="2"/>
  <c r="V97" i="2"/>
  <c r="W96" i="2"/>
  <c r="V96" i="2"/>
  <c r="W95" i="2"/>
  <c r="V95" i="2"/>
  <c r="W94" i="2"/>
  <c r="V94" i="2"/>
  <c r="W93" i="2"/>
  <c r="V93" i="2"/>
  <c r="W92" i="2"/>
  <c r="V92" i="2"/>
  <c r="W91" i="2"/>
  <c r="V91" i="2"/>
  <c r="W90" i="2"/>
  <c r="V90" i="2"/>
  <c r="W89" i="2"/>
  <c r="V89" i="2"/>
  <c r="W88" i="2"/>
  <c r="V88" i="2"/>
  <c r="W87" i="2"/>
  <c r="V87" i="2"/>
  <c r="W86" i="2"/>
  <c r="V86" i="2"/>
  <c r="W85" i="2"/>
  <c r="V85" i="2"/>
  <c r="W84" i="2"/>
  <c r="V84" i="2"/>
  <c r="W83" i="2"/>
  <c r="V83" i="2"/>
  <c r="W82" i="2"/>
  <c r="V82" i="2"/>
  <c r="W81" i="2"/>
  <c r="V81" i="2"/>
  <c r="W80" i="2"/>
  <c r="V80" i="2"/>
  <c r="W79" i="2"/>
  <c r="V79" i="2"/>
  <c r="W78" i="2"/>
  <c r="V78" i="2"/>
  <c r="W77" i="2"/>
  <c r="V77" i="2"/>
  <c r="W76" i="2"/>
  <c r="V76" i="2"/>
  <c r="W75" i="2"/>
  <c r="V75" i="2"/>
  <c r="W74" i="2"/>
  <c r="V74" i="2"/>
  <c r="W73" i="2"/>
  <c r="V73" i="2"/>
  <c r="W72" i="2"/>
  <c r="V72" i="2"/>
  <c r="W71" i="2"/>
  <c r="V71" i="2"/>
  <c r="W70" i="2"/>
  <c r="V70" i="2"/>
  <c r="W69" i="2"/>
  <c r="V69" i="2"/>
  <c r="W68" i="2"/>
  <c r="V68" i="2"/>
  <c r="W67" i="2"/>
  <c r="V67" i="2"/>
  <c r="W66" i="2"/>
  <c r="V66" i="2"/>
  <c r="W65" i="2"/>
  <c r="V65" i="2"/>
  <c r="W64" i="2"/>
  <c r="V64" i="2"/>
  <c r="W63" i="2"/>
  <c r="V63" i="2"/>
  <c r="W62" i="2"/>
  <c r="V62" i="2"/>
  <c r="W61" i="2"/>
  <c r="V61" i="2"/>
  <c r="W60" i="2"/>
  <c r="V60" i="2"/>
  <c r="W59" i="2"/>
  <c r="V59" i="2"/>
  <c r="W58" i="2"/>
  <c r="V58" i="2"/>
  <c r="W57" i="2"/>
  <c r="V57" i="2"/>
  <c r="W56" i="2"/>
  <c r="V56" i="2"/>
  <c r="W55" i="2"/>
  <c r="V55" i="2"/>
  <c r="W54" i="2"/>
  <c r="V54" i="2"/>
  <c r="W53" i="2"/>
  <c r="V53" i="2"/>
  <c r="W52" i="2"/>
  <c r="V52" i="2"/>
  <c r="S12" i="2"/>
  <c r="W12" i="2" s="1"/>
  <c r="U8" i="2"/>
  <c r="T8" i="2" s="1"/>
  <c r="U7" i="2"/>
  <c r="R7" i="2"/>
  <c r="T7" i="2" s="1"/>
  <c r="U4" i="2"/>
  <c r="T4" i="2" s="1"/>
  <c r="B135" i="6"/>
  <c r="B54" i="6"/>
  <c r="B47" i="6"/>
  <c r="W3" i="2" s="1"/>
  <c r="R12" i="2" s="1"/>
  <c r="R17" i="2" s="1"/>
  <c r="B48" i="6"/>
  <c r="B83" i="6"/>
  <c r="B134" i="6"/>
  <c r="B30" i="6"/>
  <c r="B31" i="6"/>
  <c r="B98" i="6"/>
  <c r="B92" i="6"/>
  <c r="B91" i="6"/>
  <c r="B40" i="1"/>
  <c r="B42" i="1" s="1"/>
  <c r="B42" i="6"/>
  <c r="B43" i="6" s="1"/>
  <c r="B22" i="6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E4" i="2"/>
  <c r="E7" i="2"/>
  <c r="E8" i="2"/>
  <c r="B41" i="1"/>
  <c r="B36" i="1"/>
  <c r="C5" i="2" s="1"/>
  <c r="C6" i="2" s="1"/>
  <c r="E6" i="2" s="1"/>
  <c r="O77" i="1"/>
  <c r="D12" i="2"/>
  <c r="C12" i="2" s="1"/>
  <c r="G12" i="2" s="1"/>
  <c r="E13" i="2"/>
  <c r="E14" i="2" s="1"/>
  <c r="G3" i="2"/>
  <c r="B6" i="2"/>
  <c r="B7" i="2" s="1"/>
  <c r="B25" i="1"/>
  <c r="B139" i="1" s="1"/>
  <c r="B24" i="1"/>
  <c r="B67" i="1"/>
  <c r="B142" i="1"/>
  <c r="B130" i="1"/>
  <c r="N46" i="1"/>
  <c r="B46" i="1" s="1"/>
  <c r="B16" i="1" s="1"/>
  <c r="O76" i="1"/>
  <c r="B15" i="1"/>
  <c r="B68" i="1" s="1"/>
  <c r="B53" i="6" l="1"/>
  <c r="B113" i="6" s="1"/>
  <c r="B112" i="6"/>
  <c r="B120" i="6"/>
  <c r="B78" i="6"/>
  <c r="S5" i="2"/>
  <c r="R14" i="2"/>
  <c r="S17" i="2"/>
  <c r="V12" i="2"/>
  <c r="S13" i="2"/>
  <c r="W13" i="2" s="1"/>
  <c r="B96" i="1"/>
  <c r="B129" i="1" s="1"/>
  <c r="B85" i="6"/>
  <c r="B93" i="6"/>
  <c r="B49" i="6"/>
  <c r="E5" i="2"/>
  <c r="B84" i="1"/>
  <c r="B85" i="1"/>
  <c r="B94" i="1"/>
  <c r="B105" i="1"/>
  <c r="B106" i="1" s="1"/>
  <c r="B115" i="1"/>
  <c r="B95" i="1"/>
  <c r="B116" i="1"/>
  <c r="B141" i="1"/>
  <c r="B83" i="1"/>
  <c r="N76" i="1"/>
  <c r="B12" i="2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C13" i="2"/>
  <c r="E15" i="2"/>
  <c r="B127" i="1"/>
  <c r="B92" i="1"/>
  <c r="F70" i="1"/>
  <c r="N12" i="1" s="1"/>
  <c r="N77" i="1"/>
  <c r="B128" i="6" l="1"/>
  <c r="B119" i="6"/>
  <c r="B79" i="6"/>
  <c r="B106" i="6"/>
  <c r="S6" i="2"/>
  <c r="U6" i="2" s="1"/>
  <c r="T6" i="2" s="1"/>
  <c r="U5" i="2"/>
  <c r="T5" i="2" s="1"/>
  <c r="S14" i="2"/>
  <c r="W14" i="2" s="1"/>
  <c r="W17" i="2"/>
  <c r="V17" i="2"/>
  <c r="R13" i="2"/>
  <c r="V13" i="2" s="1"/>
  <c r="R15" i="2"/>
  <c r="F87" i="6"/>
  <c r="N12" i="6" s="1"/>
  <c r="B86" i="6"/>
  <c r="C14" i="2"/>
  <c r="G14" i="2" s="1"/>
  <c r="G13" i="2"/>
  <c r="B17" i="2"/>
  <c r="B97" i="1"/>
  <c r="B98" i="1" s="1"/>
  <c r="B107" i="1"/>
  <c r="B131" i="1" s="1"/>
  <c r="B117" i="1"/>
  <c r="B118" i="1" s="1"/>
  <c r="B119" i="1" s="1"/>
  <c r="B120" i="1" s="1"/>
  <c r="B14" i="2"/>
  <c r="B75" i="1"/>
  <c r="E16" i="2"/>
  <c r="B15" i="2"/>
  <c r="C17" i="2"/>
  <c r="G17" i="2" s="1"/>
  <c r="B86" i="1"/>
  <c r="N47" i="1"/>
  <c r="B17" i="1"/>
  <c r="F130" i="6" l="1"/>
  <c r="B129" i="6"/>
  <c r="B137" i="6"/>
  <c r="B138" i="6" s="1"/>
  <c r="C15" i="2"/>
  <c r="G15" i="2" s="1"/>
  <c r="S16" i="2"/>
  <c r="W16" i="2" s="1"/>
  <c r="R16" i="2"/>
  <c r="V14" i="2"/>
  <c r="S15" i="2"/>
  <c r="W15" i="2" s="1"/>
  <c r="B99" i="6"/>
  <c r="B100" i="6" s="1"/>
  <c r="B114" i="6"/>
  <c r="F115" i="6"/>
  <c r="N15" i="6" s="1"/>
  <c r="F88" i="1"/>
  <c r="N14" i="1" s="1"/>
  <c r="F54" i="2"/>
  <c r="F58" i="2"/>
  <c r="F62" i="2"/>
  <c r="F66" i="2"/>
  <c r="F70" i="2"/>
  <c r="F74" i="2"/>
  <c r="F78" i="2"/>
  <c r="F82" i="2"/>
  <c r="F86" i="2"/>
  <c r="F90" i="2"/>
  <c r="F94" i="2"/>
  <c r="F98" i="2"/>
  <c r="F102" i="2"/>
  <c r="F106" i="2"/>
  <c r="F110" i="2"/>
  <c r="F114" i="2"/>
  <c r="F118" i="2"/>
  <c r="F122" i="2"/>
  <c r="F126" i="2"/>
  <c r="F130" i="2"/>
  <c r="F134" i="2"/>
  <c r="F138" i="2"/>
  <c r="F142" i="2"/>
  <c r="F146" i="2"/>
  <c r="F150" i="2"/>
  <c r="F154" i="2"/>
  <c r="F158" i="2"/>
  <c r="F162" i="2"/>
  <c r="F166" i="2"/>
  <c r="F170" i="2"/>
  <c r="F174" i="2"/>
  <c r="F178" i="2"/>
  <c r="F182" i="2"/>
  <c r="F186" i="2"/>
  <c r="F190" i="2"/>
  <c r="F194" i="2"/>
  <c r="F198" i="2"/>
  <c r="F202" i="2"/>
  <c r="F206" i="2"/>
  <c r="F210" i="2"/>
  <c r="F214" i="2"/>
  <c r="F218" i="2"/>
  <c r="F222" i="2"/>
  <c r="F226" i="2"/>
  <c r="F230" i="2"/>
  <c r="F234" i="2"/>
  <c r="F238" i="2"/>
  <c r="F242" i="2"/>
  <c r="F246" i="2"/>
  <c r="F250" i="2"/>
  <c r="F254" i="2"/>
  <c r="F258" i="2"/>
  <c r="F262" i="2"/>
  <c r="F266" i="2"/>
  <c r="F270" i="2"/>
  <c r="F274" i="2"/>
  <c r="F278" i="2"/>
  <c r="F282" i="2"/>
  <c r="F286" i="2"/>
  <c r="F290" i="2"/>
  <c r="D7" i="2"/>
  <c r="F56" i="2"/>
  <c r="F61" i="2"/>
  <c r="F67" i="2"/>
  <c r="F72" i="2"/>
  <c r="F77" i="2"/>
  <c r="F83" i="2"/>
  <c r="F88" i="2"/>
  <c r="F93" i="2"/>
  <c r="F99" i="2"/>
  <c r="F104" i="2"/>
  <c r="F109" i="2"/>
  <c r="F115" i="2"/>
  <c r="F120" i="2"/>
  <c r="F125" i="2"/>
  <c r="F131" i="2"/>
  <c r="F136" i="2"/>
  <c r="F141" i="2"/>
  <c r="F147" i="2"/>
  <c r="F152" i="2"/>
  <c r="F157" i="2"/>
  <c r="F163" i="2"/>
  <c r="F168" i="2"/>
  <c r="F173" i="2"/>
  <c r="F179" i="2"/>
  <c r="F184" i="2"/>
  <c r="F189" i="2"/>
  <c r="F195" i="2"/>
  <c r="F200" i="2"/>
  <c r="F205" i="2"/>
  <c r="F211" i="2"/>
  <c r="F216" i="2"/>
  <c r="F221" i="2"/>
  <c r="F227" i="2"/>
  <c r="F232" i="2"/>
  <c r="F237" i="2"/>
  <c r="F243" i="2"/>
  <c r="F248" i="2"/>
  <c r="F253" i="2"/>
  <c r="F259" i="2"/>
  <c r="F264" i="2"/>
  <c r="F269" i="2"/>
  <c r="F275" i="2"/>
  <c r="F280" i="2"/>
  <c r="F285" i="2"/>
  <c r="F291" i="2"/>
  <c r="F52" i="2"/>
  <c r="F57" i="2"/>
  <c r="F63" i="2"/>
  <c r="F68" i="2"/>
  <c r="F73" i="2"/>
  <c r="F79" i="2"/>
  <c r="F84" i="2"/>
  <c r="F89" i="2"/>
  <c r="F95" i="2"/>
  <c r="F100" i="2"/>
  <c r="F105" i="2"/>
  <c r="F53" i="2"/>
  <c r="F64" i="2"/>
  <c r="F75" i="2"/>
  <c r="F85" i="2"/>
  <c r="F96" i="2"/>
  <c r="F107" i="2"/>
  <c r="F113" i="2"/>
  <c r="F121" i="2"/>
  <c r="F128" i="2"/>
  <c r="F135" i="2"/>
  <c r="F143" i="2"/>
  <c r="F149" i="2"/>
  <c r="F156" i="2"/>
  <c r="F164" i="2"/>
  <c r="F171" i="2"/>
  <c r="F177" i="2"/>
  <c r="F185" i="2"/>
  <c r="F192" i="2"/>
  <c r="F199" i="2"/>
  <c r="F207" i="2"/>
  <c r="F213" i="2"/>
  <c r="F220" i="2"/>
  <c r="F228" i="2"/>
  <c r="F235" i="2"/>
  <c r="F241" i="2"/>
  <c r="F249" i="2"/>
  <c r="F256" i="2"/>
  <c r="F263" i="2"/>
  <c r="F271" i="2"/>
  <c r="F277" i="2"/>
  <c r="F284" i="2"/>
  <c r="F12" i="2"/>
  <c r="F55" i="2"/>
  <c r="F65" i="2"/>
  <c r="F76" i="2"/>
  <c r="F87" i="2"/>
  <c r="F97" i="2"/>
  <c r="F108" i="2"/>
  <c r="F116" i="2"/>
  <c r="F123" i="2"/>
  <c r="F129" i="2"/>
  <c r="F137" i="2"/>
  <c r="F144" i="2"/>
  <c r="F151" i="2"/>
  <c r="F159" i="2"/>
  <c r="F165" i="2"/>
  <c r="F172" i="2"/>
  <c r="F180" i="2"/>
  <c r="F187" i="2"/>
  <c r="F193" i="2"/>
  <c r="F201" i="2"/>
  <c r="F208" i="2"/>
  <c r="F215" i="2"/>
  <c r="F223" i="2"/>
  <c r="F229" i="2"/>
  <c r="F236" i="2"/>
  <c r="F244" i="2"/>
  <c r="F251" i="2"/>
  <c r="F257" i="2"/>
  <c r="F265" i="2"/>
  <c r="F272" i="2"/>
  <c r="F279" i="2"/>
  <c r="F287" i="2"/>
  <c r="F59" i="2"/>
  <c r="F69" i="2"/>
  <c r="F80" i="2"/>
  <c r="F91" i="2"/>
  <c r="F101" i="2"/>
  <c r="F111" i="2"/>
  <c r="F117" i="2"/>
  <c r="F124" i="2"/>
  <c r="F132" i="2"/>
  <c r="F139" i="2"/>
  <c r="F145" i="2"/>
  <c r="F153" i="2"/>
  <c r="F160" i="2"/>
  <c r="F167" i="2"/>
  <c r="F175" i="2"/>
  <c r="F181" i="2"/>
  <c r="F188" i="2"/>
  <c r="F196" i="2"/>
  <c r="F203" i="2"/>
  <c r="F209" i="2"/>
  <c r="F217" i="2"/>
  <c r="F224" i="2"/>
  <c r="F231" i="2"/>
  <c r="F239" i="2"/>
  <c r="F245" i="2"/>
  <c r="F252" i="2"/>
  <c r="F260" i="2"/>
  <c r="F267" i="2"/>
  <c r="F273" i="2"/>
  <c r="F281" i="2"/>
  <c r="F288" i="2"/>
  <c r="F17" i="2"/>
  <c r="F60" i="2"/>
  <c r="F71" i="2"/>
  <c r="F81" i="2"/>
  <c r="F92" i="2"/>
  <c r="F103" i="2"/>
  <c r="F112" i="2"/>
  <c r="F119" i="2"/>
  <c r="F127" i="2"/>
  <c r="F133" i="2"/>
  <c r="F140" i="2"/>
  <c r="F148" i="2"/>
  <c r="F155" i="2"/>
  <c r="F161" i="2"/>
  <c r="F169" i="2"/>
  <c r="F176" i="2"/>
  <c r="F183" i="2"/>
  <c r="F191" i="2"/>
  <c r="F197" i="2"/>
  <c r="F204" i="2"/>
  <c r="F212" i="2"/>
  <c r="F219" i="2"/>
  <c r="F225" i="2"/>
  <c r="F233" i="2"/>
  <c r="F240" i="2"/>
  <c r="F247" i="2"/>
  <c r="F255" i="2"/>
  <c r="F261" i="2"/>
  <c r="F268" i="2"/>
  <c r="F276" i="2"/>
  <c r="F283" i="2"/>
  <c r="F289" i="2"/>
  <c r="D6" i="2"/>
  <c r="D8" i="2"/>
  <c r="D4" i="2"/>
  <c r="D5" i="2"/>
  <c r="F15" i="2"/>
  <c r="B13" i="2"/>
  <c r="F13" i="2" s="1"/>
  <c r="F14" i="2"/>
  <c r="B143" i="1"/>
  <c r="B144" i="1" s="1"/>
  <c r="B145" i="1" s="1"/>
  <c r="F122" i="1"/>
  <c r="N17" i="1" s="1"/>
  <c r="B74" i="1"/>
  <c r="B76" i="1" s="1"/>
  <c r="B77" i="1" s="1"/>
  <c r="B108" i="1"/>
  <c r="B132" i="1"/>
  <c r="B133" i="1" s="1"/>
  <c r="C16" i="2"/>
  <c r="G16" i="2" s="1"/>
  <c r="B16" i="2"/>
  <c r="E17" i="2"/>
  <c r="E18" i="2" s="1"/>
  <c r="F100" i="1"/>
  <c r="N15" i="1" s="1"/>
  <c r="B87" i="1"/>
  <c r="V15" i="2" l="1"/>
  <c r="V16" i="2"/>
  <c r="R19" i="2"/>
  <c r="S18" i="2"/>
  <c r="F101" i="6"/>
  <c r="N13" i="6" s="1"/>
  <c r="F122" i="6"/>
  <c r="N16" i="6" s="1"/>
  <c r="B121" i="6"/>
  <c r="B107" i="6"/>
  <c r="F108" i="6"/>
  <c r="N14" i="6" s="1"/>
  <c r="F16" i="2"/>
  <c r="F147" i="1"/>
  <c r="N19" i="1" s="1"/>
  <c r="B109" i="1"/>
  <c r="F111" i="1"/>
  <c r="N16" i="1" s="1"/>
  <c r="F79" i="1"/>
  <c r="N13" i="1" s="1"/>
  <c r="F135" i="1"/>
  <c r="N18" i="1" s="1"/>
  <c r="E19" i="2"/>
  <c r="C18" i="2"/>
  <c r="G18" i="2" s="1"/>
  <c r="W18" i="2" l="1"/>
  <c r="S19" i="2"/>
  <c r="W19" i="2" s="1"/>
  <c r="B139" i="6"/>
  <c r="F140" i="6"/>
  <c r="N18" i="6" s="1"/>
  <c r="N17" i="6"/>
  <c r="E20" i="2"/>
  <c r="C19" i="2"/>
  <c r="G19" i="2" s="1"/>
  <c r="B19" i="2"/>
  <c r="S21" i="2" l="1"/>
  <c r="S20" i="2"/>
  <c r="W20" i="2" s="1"/>
  <c r="R20" i="2"/>
  <c r="V19" i="2"/>
  <c r="R18" i="2"/>
  <c r="V18" i="2" s="1"/>
  <c r="B18" i="2"/>
  <c r="F18" i="2" s="1"/>
  <c r="F19" i="2"/>
  <c r="B20" i="2"/>
  <c r="E21" i="2"/>
  <c r="C20" i="2"/>
  <c r="G20" i="2" s="1"/>
  <c r="R21" i="2" l="1"/>
  <c r="V21" i="2" s="1"/>
  <c r="W21" i="2"/>
  <c r="V20" i="2"/>
  <c r="F20" i="2"/>
  <c r="E22" i="2"/>
  <c r="B21" i="2"/>
  <c r="C21" i="2"/>
  <c r="G21" i="2" s="1"/>
  <c r="R22" i="2" l="1"/>
  <c r="S22" i="2"/>
  <c r="W22" i="2" s="1"/>
  <c r="F21" i="2"/>
  <c r="E23" i="2"/>
  <c r="E24" i="2" s="1"/>
  <c r="C22" i="2"/>
  <c r="G22" i="2" s="1"/>
  <c r="B22" i="2"/>
  <c r="S23" i="2" l="1"/>
  <c r="W23" i="2" s="1"/>
  <c r="R24" i="2"/>
  <c r="R23" i="2" s="1"/>
  <c r="V22" i="2"/>
  <c r="F22" i="2"/>
  <c r="C23" i="2"/>
  <c r="E25" i="2"/>
  <c r="B24" i="2"/>
  <c r="S24" i="2" l="1"/>
  <c r="R25" i="2"/>
  <c r="C24" i="2"/>
  <c r="G24" i="2" s="1"/>
  <c r="G23" i="2"/>
  <c r="B23" i="2"/>
  <c r="F23" i="2" s="1"/>
  <c r="E26" i="2"/>
  <c r="B25" i="2"/>
  <c r="S25" i="2" l="1"/>
  <c r="W25" i="2" s="1"/>
  <c r="W24" i="2"/>
  <c r="V24" i="2"/>
  <c r="V23" i="2"/>
  <c r="F24" i="2"/>
  <c r="C25" i="2"/>
  <c r="G25" i="2" s="1"/>
  <c r="E27" i="2"/>
  <c r="B26" i="2"/>
  <c r="C26" i="2"/>
  <c r="G26" i="2" s="1"/>
  <c r="R26" i="2" l="1"/>
  <c r="S26" i="2"/>
  <c r="W26" i="2" s="1"/>
  <c r="V25" i="2"/>
  <c r="F26" i="2"/>
  <c r="F25" i="2"/>
  <c r="E28" i="2"/>
  <c r="C27" i="2"/>
  <c r="G27" i="2" s="1"/>
  <c r="B27" i="2"/>
  <c r="S27" i="2" l="1"/>
  <c r="S28" i="2" s="1"/>
  <c r="R27" i="2"/>
  <c r="V26" i="2"/>
  <c r="F27" i="2"/>
  <c r="C28" i="2"/>
  <c r="G28" i="2" s="1"/>
  <c r="E29" i="2"/>
  <c r="B29" i="2" s="1"/>
  <c r="V27" i="2" l="1"/>
  <c r="W27" i="2"/>
  <c r="R29" i="2"/>
  <c r="R28" i="2" s="1"/>
  <c r="W28" i="2"/>
  <c r="B28" i="2"/>
  <c r="F28" i="2" s="1"/>
  <c r="E30" i="2"/>
  <c r="B30" i="2" s="1"/>
  <c r="C29" i="2"/>
  <c r="G29" i="2" s="1"/>
  <c r="S29" i="2" l="1"/>
  <c r="W29" i="2" s="1"/>
  <c r="F29" i="2"/>
  <c r="E31" i="2"/>
  <c r="B31" i="2" s="1"/>
  <c r="C30" i="2"/>
  <c r="G30" i="2" s="1"/>
  <c r="R30" i="2" l="1"/>
  <c r="S30" i="2"/>
  <c r="W30" i="2" s="1"/>
  <c r="V29" i="2"/>
  <c r="V28" i="2"/>
  <c r="F30" i="2"/>
  <c r="E32" i="2"/>
  <c r="C32" i="2" s="1"/>
  <c r="G32" i="2" s="1"/>
  <c r="C31" i="2"/>
  <c r="G31" i="2" s="1"/>
  <c r="R31" i="2" l="1"/>
  <c r="S31" i="2"/>
  <c r="W31" i="2" s="1"/>
  <c r="V30" i="2"/>
  <c r="F31" i="2"/>
  <c r="B32" i="2"/>
  <c r="F32" i="2" s="1"/>
  <c r="E33" i="2"/>
  <c r="E34" i="2" s="1"/>
  <c r="V31" i="2" l="1"/>
  <c r="R32" i="2"/>
  <c r="S32" i="2"/>
  <c r="W32" i="2" s="1"/>
  <c r="B34" i="2"/>
  <c r="C33" i="2"/>
  <c r="E35" i="2"/>
  <c r="B35" i="2" s="1"/>
  <c r="S33" i="2" l="1"/>
  <c r="W33" i="2" s="1"/>
  <c r="V32" i="2"/>
  <c r="C34" i="2"/>
  <c r="G34" i="2" s="1"/>
  <c r="G33" i="2"/>
  <c r="B33" i="2"/>
  <c r="F33" i="2" s="1"/>
  <c r="E36" i="2"/>
  <c r="B36" i="2" s="1"/>
  <c r="C35" i="2"/>
  <c r="G35" i="2" s="1"/>
  <c r="S34" i="2" l="1"/>
  <c r="W34" i="2" s="1"/>
  <c r="R34" i="2"/>
  <c r="R33" i="2" s="1"/>
  <c r="V33" i="2" s="1"/>
  <c r="F35" i="2"/>
  <c r="F34" i="2"/>
  <c r="E37" i="2"/>
  <c r="C36" i="2"/>
  <c r="G36" i="2" s="1"/>
  <c r="S35" i="2" l="1"/>
  <c r="W35" i="2" s="1"/>
  <c r="R35" i="2"/>
  <c r="V34" i="2"/>
  <c r="F36" i="2"/>
  <c r="E38" i="2"/>
  <c r="C37" i="2"/>
  <c r="G37" i="2" s="1"/>
  <c r="B37" i="2"/>
  <c r="V35" i="2" l="1"/>
  <c r="R36" i="2"/>
  <c r="S36" i="2"/>
  <c r="W36" i="2" s="1"/>
  <c r="F37" i="2"/>
  <c r="E39" i="2"/>
  <c r="C38" i="2"/>
  <c r="G38" i="2" s="1"/>
  <c r="R37" i="2" l="1"/>
  <c r="S37" i="2"/>
  <c r="W37" i="2" s="1"/>
  <c r="V36" i="2"/>
  <c r="E40" i="2"/>
  <c r="C39" i="2"/>
  <c r="G39" i="2" s="1"/>
  <c r="B39" i="2"/>
  <c r="S38" i="2" l="1"/>
  <c r="W38" i="2" s="1"/>
  <c r="V37" i="2"/>
  <c r="B38" i="2"/>
  <c r="F38" i="2" s="1"/>
  <c r="F39" i="2"/>
  <c r="E41" i="2"/>
  <c r="C40" i="2"/>
  <c r="G40" i="2" s="1"/>
  <c r="B40" i="2"/>
  <c r="S39" i="2" l="1"/>
  <c r="W39" i="2" s="1"/>
  <c r="R39" i="2"/>
  <c r="R38" i="2" s="1"/>
  <c r="V38" i="2" s="1"/>
  <c r="F40" i="2"/>
  <c r="E42" i="2"/>
  <c r="C41" i="2"/>
  <c r="G41" i="2" s="1"/>
  <c r="B41" i="2"/>
  <c r="V39" i="2" l="1"/>
  <c r="S40" i="2"/>
  <c r="W40" i="2" s="1"/>
  <c r="R40" i="2"/>
  <c r="F41" i="2"/>
  <c r="E43" i="2"/>
  <c r="C42" i="2"/>
  <c r="G42" i="2" s="1"/>
  <c r="B42" i="2"/>
  <c r="R41" i="2" l="1"/>
  <c r="S41" i="2"/>
  <c r="W41" i="2" s="1"/>
  <c r="V40" i="2"/>
  <c r="F42" i="2"/>
  <c r="E44" i="2"/>
  <c r="C43" i="2"/>
  <c r="G43" i="2" s="1"/>
  <c r="V41" i="2" l="1"/>
  <c r="R42" i="2"/>
  <c r="S42" i="2"/>
  <c r="W42" i="2" s="1"/>
  <c r="E45" i="2"/>
  <c r="C44" i="2"/>
  <c r="G44" i="2" s="1"/>
  <c r="B44" i="2"/>
  <c r="S43" i="2" l="1"/>
  <c r="W43" i="2" s="1"/>
  <c r="R43" i="2"/>
  <c r="V42" i="2"/>
  <c r="B43" i="2"/>
  <c r="F43" i="2" s="1"/>
  <c r="F44" i="2"/>
  <c r="E46" i="2"/>
  <c r="C45" i="2"/>
  <c r="G45" i="2" s="1"/>
  <c r="B45" i="2"/>
  <c r="V43" i="2" l="1"/>
  <c r="S44" i="2"/>
  <c r="W44" i="2" s="1"/>
  <c r="R44" i="2"/>
  <c r="F45" i="2"/>
  <c r="E47" i="2"/>
  <c r="C46" i="2"/>
  <c r="G46" i="2" s="1"/>
  <c r="B46" i="2"/>
  <c r="S45" i="2" l="1"/>
  <c r="W45" i="2" s="1"/>
  <c r="R45" i="2"/>
  <c r="V44" i="2"/>
  <c r="F46" i="2"/>
  <c r="E48" i="2"/>
  <c r="C47" i="2"/>
  <c r="G47" i="2" s="1"/>
  <c r="B47" i="2"/>
  <c r="V45" i="2" l="1"/>
  <c r="R46" i="2"/>
  <c r="S46" i="2"/>
  <c r="W46" i="2" s="1"/>
  <c r="F47" i="2"/>
  <c r="E49" i="2"/>
  <c r="C48" i="2"/>
  <c r="G48" i="2" s="1"/>
  <c r="S47" i="2" l="1"/>
  <c r="W47" i="2" s="1"/>
  <c r="R47" i="2"/>
  <c r="V46" i="2"/>
  <c r="E50" i="2"/>
  <c r="C49" i="2"/>
  <c r="G49" i="2" s="1"/>
  <c r="B49" i="2"/>
  <c r="V47" i="2" l="1"/>
  <c r="S48" i="2"/>
  <c r="W48" i="2" s="1"/>
  <c r="R48" i="2"/>
  <c r="B48" i="2"/>
  <c r="F48" i="2" s="1"/>
  <c r="F49" i="2"/>
  <c r="E51" i="2"/>
  <c r="C50" i="2"/>
  <c r="G50" i="2" s="1"/>
  <c r="B50" i="2"/>
  <c r="S49" i="2" l="1"/>
  <c r="R49" i="2"/>
  <c r="V48" i="2"/>
  <c r="F50" i="2"/>
  <c r="E52" i="2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C51" i="2"/>
  <c r="G51" i="2" s="1"/>
  <c r="B51" i="2"/>
  <c r="V49" i="2" l="1"/>
  <c r="W49" i="2"/>
  <c r="S50" i="2"/>
  <c r="W50" i="2" s="1"/>
  <c r="R50" i="2"/>
  <c r="F51" i="2"/>
  <c r="R51" i="2" l="1"/>
  <c r="S51" i="2"/>
  <c r="W51" i="2" s="1"/>
  <c r="V50" i="2"/>
  <c r="V5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tc={902F51FA-38D5-4BCD-BAF3-2B6A85BBF7CD}</author>
  </authors>
  <commentList>
    <comment ref="B74" authorId="0" shapeId="0" xr:uid="{902F51FA-38D5-4BCD-BAF3-2B6A85BBF7C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Conferir esse valor, está estranho
</t>
      </text>
    </comment>
  </commentList>
</comments>
</file>

<file path=xl/sharedStrings.xml><?xml version="1.0" encoding="utf-8"?>
<sst xmlns="http://schemas.openxmlformats.org/spreadsheetml/2006/main" count="672" uniqueCount="335">
  <si>
    <t>INSTRUÇÕES</t>
  </si>
  <si>
    <t xml:space="preserve">Codificação de cores nas celulas </t>
  </si>
  <si>
    <t>Escala de cores</t>
  </si>
  <si>
    <t>dados de entrada</t>
  </si>
  <si>
    <t>0&lt;x&lt;0,2</t>
  </si>
  <si>
    <t>dados preenchidos e/ou calculados pela planilha ou do banco de dados</t>
  </si>
  <si>
    <t>0,2&lt;x&lt;0,4</t>
  </si>
  <si>
    <t>Tensoes,deslocamentos, solicitantes</t>
  </si>
  <si>
    <t>0,4&lt;x&lt;0,6</t>
  </si>
  <si>
    <t>Tensoes,deslocamentos, Admissiveis</t>
  </si>
  <si>
    <t>0,6&lt;x&lt;0,8</t>
  </si>
  <si>
    <t>Ratios</t>
  </si>
  <si>
    <t>0,8&lt;x&lt;1,0</t>
  </si>
  <si>
    <t>1.DADOS</t>
  </si>
  <si>
    <t>&gt;1</t>
  </si>
  <si>
    <t xml:space="preserve">1.1 DADOS GERAIS </t>
  </si>
  <si>
    <t>A572-GR50</t>
  </si>
  <si>
    <t>Verificações</t>
  </si>
  <si>
    <t>Verificação 1</t>
  </si>
  <si>
    <t>E=</t>
  </si>
  <si>
    <t>MPa</t>
  </si>
  <si>
    <t>Módulo de Elasticidade do aço</t>
  </si>
  <si>
    <t>Verificação 3</t>
  </si>
  <si>
    <r>
      <t>γ</t>
    </r>
    <r>
      <rPr>
        <vertAlign val="subscript"/>
        <sz val="11"/>
        <color theme="1"/>
        <rFont val="Calibri"/>
        <family val="2"/>
        <scheme val="minor"/>
      </rPr>
      <t>a1</t>
    </r>
    <r>
      <rPr>
        <sz val="11"/>
        <color theme="1"/>
        <rFont val="Calibri"/>
        <family val="2"/>
        <scheme val="minor"/>
      </rPr>
      <t>=</t>
    </r>
  </si>
  <si>
    <t>-</t>
  </si>
  <si>
    <r>
      <rPr>
        <sz val="11"/>
        <color theme="1"/>
        <rFont val="Calibri"/>
        <family val="2"/>
        <scheme val="minor"/>
      </rPr>
      <t>γ</t>
    </r>
    <r>
      <rPr>
        <vertAlign val="subscript"/>
        <sz val="11"/>
        <color theme="1"/>
        <rFont val="Calibri"/>
        <family val="2"/>
        <scheme val="minor"/>
      </rPr>
      <t xml:space="preserve">a2 </t>
    </r>
    <r>
      <rPr>
        <sz val="11"/>
        <color theme="1"/>
        <rFont val="Calibri"/>
        <family val="2"/>
        <scheme val="minor"/>
      </rPr>
      <t>=</t>
    </r>
  </si>
  <si>
    <t>Coeficiente de ponderação do aço à Ruptura</t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</si>
  <si>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=</t>
    </r>
  </si>
  <si>
    <t xml:space="preserve">Resistência ao escoamento </t>
  </si>
  <si>
    <t>2.CÁLCULOS</t>
  </si>
  <si>
    <t>Mrd = (Mpl)/γa1</t>
  </si>
  <si>
    <t>Mrd = 1/γa1*(Mpl-(Mpl-Mr)*(ʎ-ʎp)/(ʎr-ʎp))</t>
  </si>
  <si>
    <t>"Não aplicável"</t>
  </si>
  <si>
    <t>1.3 DADOS MATERIAIS</t>
  </si>
  <si>
    <t>1.2 DADOS CARREGAMENTOS</t>
  </si>
  <si>
    <t>kN</t>
  </si>
  <si>
    <t>a=</t>
  </si>
  <si>
    <t>b=</t>
  </si>
  <si>
    <t>n=</t>
  </si>
  <si>
    <t>mm</t>
  </si>
  <si>
    <t>Espaçamento entre faces internas de lâminas de chapa de aço</t>
  </si>
  <si>
    <t>Espessura da lâminas de chapa de aço</t>
  </si>
  <si>
    <t>Coeficiente de ponderação do aço ao Escoamento, Flambagem e Instabilidade</t>
  </si>
  <si>
    <t>rad</t>
  </si>
  <si>
    <t>Maior comprimento horizontal do aparelho de apoio</t>
  </si>
  <si>
    <t>cv=</t>
  </si>
  <si>
    <t>ch=</t>
  </si>
  <si>
    <t>1.5 DADOS GEOMÉTRICOS</t>
  </si>
  <si>
    <t>Menor comprimento horizontal do aparelho de apoio</t>
  </si>
  <si>
    <t>Verificação 2</t>
  </si>
  <si>
    <t>Verificação 4</t>
  </si>
  <si>
    <t>Verificação 5</t>
  </si>
  <si>
    <t>Pressão de contato no aparelho de apoio</t>
  </si>
  <si>
    <t>Item 7.2.1.6.19 - NBR9062:2017</t>
  </si>
  <si>
    <r>
      <t>σ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</si>
  <si>
    <t xml:space="preserve">Tensão limite de contato </t>
  </si>
  <si>
    <t>x</t>
  </si>
  <si>
    <t>Valor</t>
  </si>
  <si>
    <t>Condição</t>
  </si>
  <si>
    <t>Apoio simples</t>
  </si>
  <si>
    <t>Fretado</t>
  </si>
  <si>
    <t>Critério</t>
  </si>
  <si>
    <r>
      <t>N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</si>
  <si>
    <t xml:space="preserve">Carregamento externo vertical </t>
  </si>
  <si>
    <t>Limite de pressão de contato</t>
  </si>
  <si>
    <t>2.1 CÁLCULO PRESSÃO DE CONTATO</t>
  </si>
  <si>
    <t>Fonte:Item 7.2.1.6.19 - NBR9062:2017</t>
  </si>
  <si>
    <t>Metadados</t>
  </si>
  <si>
    <t>Path</t>
  </si>
  <si>
    <t>Caminho do arquivo</t>
  </si>
  <si>
    <t>Arquivo aberto</t>
  </si>
  <si>
    <t>Sim</t>
  </si>
  <si>
    <t>Não</t>
  </si>
  <si>
    <t xml:space="preserve">2.2 CÁLCULO DESLIZAMENTO </t>
  </si>
  <si>
    <r>
      <t>σ'</t>
    </r>
    <r>
      <rPr>
        <vertAlign val="subscript"/>
        <sz val="11"/>
        <color theme="1"/>
        <rFont val="Calibri"/>
        <family val="2"/>
        <scheme val="minor"/>
      </rPr>
      <t>mk</t>
    </r>
    <r>
      <rPr>
        <sz val="11"/>
        <color theme="1"/>
        <rFont val="Calibri"/>
        <family val="2"/>
        <scheme val="minor"/>
      </rPr>
      <t>=</t>
    </r>
  </si>
  <si>
    <t>Tensão efetiva de compressão</t>
  </si>
  <si>
    <t>μ=</t>
  </si>
  <si>
    <t>Item 7.2.1.6.22 - NBR9062:2017</t>
  </si>
  <si>
    <t>Coef. conformação superficial do concreto</t>
  </si>
  <si>
    <r>
      <t>a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</si>
  <si>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r>
      <t>Deformação máxima no sentido de H</t>
    </r>
    <r>
      <rPr>
        <vertAlign val="subscript"/>
        <sz val="11"/>
        <color theme="1"/>
        <rFont val="Calibri"/>
        <family val="2"/>
        <scheme val="minor"/>
      </rPr>
      <t>k</t>
    </r>
  </si>
  <si>
    <t>Área indeformada de contato</t>
  </si>
  <si>
    <r>
      <t>N</t>
    </r>
    <r>
      <rPr>
        <vertAlign val="subscript"/>
        <sz val="11"/>
        <color theme="1"/>
        <rFont val="Calibri"/>
        <family val="2"/>
        <scheme val="minor"/>
      </rPr>
      <t>gk</t>
    </r>
    <r>
      <rPr>
        <sz val="11"/>
        <color theme="1"/>
        <rFont val="Calibri"/>
        <family val="2"/>
        <scheme val="minor"/>
      </rPr>
      <t>=</t>
    </r>
  </si>
  <si>
    <r>
      <t>N</t>
    </r>
    <r>
      <rPr>
        <vertAlign val="subscript"/>
        <sz val="11"/>
        <color theme="1"/>
        <rFont val="Calibri"/>
        <family val="2"/>
        <scheme val="minor"/>
      </rPr>
      <t>qk</t>
    </r>
    <r>
      <rPr>
        <sz val="11"/>
        <color theme="1"/>
        <rFont val="Calibri"/>
        <family val="2"/>
        <scheme val="minor"/>
      </rPr>
      <t>=</t>
    </r>
  </si>
  <si>
    <t>Carregamento externo vertical permanente</t>
  </si>
  <si>
    <t>Carregamento externo vertical Acidental</t>
  </si>
  <si>
    <t>Ngk</t>
  </si>
  <si>
    <t>Ngk+Nqk</t>
  </si>
  <si>
    <r>
      <t>N</t>
    </r>
    <r>
      <rPr>
        <vertAlign val="subscript"/>
        <sz val="11"/>
        <color theme="1"/>
        <rFont val="Calibri"/>
        <family val="2"/>
        <scheme val="minor"/>
      </rPr>
      <t>k,mín</t>
    </r>
    <r>
      <rPr>
        <sz val="11"/>
        <color theme="1"/>
        <rFont val="Calibri"/>
        <family val="2"/>
        <scheme val="minor"/>
      </rPr>
      <t>=</t>
    </r>
  </si>
  <si>
    <t>Carregamento externo vertical mínimo</t>
  </si>
  <si>
    <t>* a norma é meio confusa neste ponto</t>
  </si>
  <si>
    <t>A'</t>
  </si>
  <si>
    <t>A'=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</si>
  <si>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</si>
  <si>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t>cm²</t>
  </si>
  <si>
    <t>Comparar</t>
  </si>
  <si>
    <t>ε=</t>
  </si>
  <si>
    <r>
      <t>ε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</si>
  <si>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>h=</t>
  </si>
  <si>
    <t>G=</t>
  </si>
  <si>
    <t>qndt</t>
  </si>
  <si>
    <r>
      <t>H</t>
    </r>
    <r>
      <rPr>
        <vertAlign val="subscript"/>
        <sz val="11"/>
        <color theme="1"/>
        <rFont val="Calibri"/>
        <family val="2"/>
        <scheme val="minor"/>
      </rPr>
      <t>gk</t>
    </r>
    <r>
      <rPr>
        <sz val="11"/>
        <color theme="1"/>
        <rFont val="Calibri"/>
        <family val="2"/>
        <scheme val="minor"/>
      </rPr>
      <t>=</t>
    </r>
  </si>
  <si>
    <r>
      <t>H</t>
    </r>
    <r>
      <rPr>
        <vertAlign val="subscript"/>
        <sz val="11"/>
        <color theme="1"/>
        <rFont val="Calibri"/>
        <family val="2"/>
        <scheme val="minor"/>
      </rPr>
      <t>qk</t>
    </r>
    <r>
      <rPr>
        <sz val="11"/>
        <color theme="1"/>
        <rFont val="Calibri"/>
        <family val="2"/>
        <scheme val="minor"/>
      </rPr>
      <t>=</t>
    </r>
  </si>
  <si>
    <t>2.3 CÁLCULO DESLOCAMENTO POR CISALHAMENTO</t>
  </si>
  <si>
    <r>
      <t>ε</t>
    </r>
    <r>
      <rPr>
        <vertAlign val="subscript"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</t>
    </r>
  </si>
  <si>
    <r>
      <t>ε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=</t>
    </r>
  </si>
  <si>
    <t>Verificação esforço vertical mínimo</t>
  </si>
  <si>
    <t>ε/εlim=</t>
  </si>
  <si>
    <t>Marcador</t>
  </si>
  <si>
    <r>
      <t>σ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</si>
  <si>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r>
      <t>H/H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</si>
  <si>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σ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/σ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</si>
  <si>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r>
      <t>σ'</t>
    </r>
    <r>
      <rPr>
        <b/>
        <vertAlign val="subscript"/>
        <sz val="11"/>
        <color theme="1"/>
        <rFont val="Calibri"/>
        <family val="2"/>
        <scheme val="minor"/>
      </rPr>
      <t>mk</t>
    </r>
  </si>
  <si>
    <r>
      <t>σ</t>
    </r>
    <r>
      <rPr>
        <vertAlign val="subscript"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</t>
    </r>
  </si>
  <si>
    <t>Tensão normal devida as ações permanentes</t>
  </si>
  <si>
    <t>Tensão normal devida as ações variáveis</t>
  </si>
  <si>
    <t>Δh=</t>
  </si>
  <si>
    <t>Item 7.2.1.6.20 - NBR9062:2017</t>
  </si>
  <si>
    <r>
      <t>Δh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</si>
  <si>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 xml:space="preserve">Deslocamento de afundamento limite </t>
  </si>
  <si>
    <r>
      <rPr>
        <sz val="11"/>
        <color theme="1"/>
        <rFont val="Calibri"/>
        <family val="2"/>
        <scheme val="minor"/>
      </rP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</si>
  <si>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Calibri"/>
        <family val="2"/>
        <scheme val="minor"/>
      </rP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</si>
  <si>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Δh/Δhlim=</t>
  </si>
  <si>
    <t>Estabilidade ao afundamento</t>
  </si>
  <si>
    <t>Deslocamento por cisalhamento</t>
  </si>
  <si>
    <t>2.4 CÁLCULO DO AFUNDAMENTO EM SERVIÇO</t>
  </si>
  <si>
    <t xml:space="preserve">Fator de forma </t>
  </si>
  <si>
    <r>
      <t xml:space="preserve">Planilha aplicável para cálculo de aparelhos de apoio </t>
    </r>
    <r>
      <rPr>
        <b/>
        <sz val="11"/>
        <color theme="1"/>
        <rFont val="Calibri"/>
        <family val="2"/>
        <scheme val="minor"/>
      </rPr>
      <t>FRETADO</t>
    </r>
  </si>
  <si>
    <t>Cálculos conforme NBR 9062:2017 com recomendações da TQS</t>
  </si>
  <si>
    <t>Módulo de deformação transversal</t>
  </si>
  <si>
    <t>Item 7.2.1.6.12 - NBR9062:2017</t>
  </si>
  <si>
    <t>Dureza Shore A</t>
  </si>
  <si>
    <t>G [MPA]</t>
  </si>
  <si>
    <t>Dureza Shore A 50</t>
  </si>
  <si>
    <t>Dureza Shore A 60</t>
  </si>
  <si>
    <t>Dureza Shore A 70</t>
  </si>
  <si>
    <t>Aperte o botão para extrair as imagens para um word</t>
  </si>
  <si>
    <r>
      <t>τ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</t>
    </r>
  </si>
  <si>
    <t>Tensão Cisalhante induzida por Cargas Verticiais</t>
  </si>
  <si>
    <t>Tensão Cisalhante induzida por Cargas Horizontais</t>
  </si>
  <si>
    <r>
      <t>τ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</si>
  <si>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r>
      <t>τ</t>
    </r>
    <r>
      <rPr>
        <vertAlign val="subscript"/>
        <sz val="11"/>
        <color theme="1"/>
        <rFont val="Calibri"/>
        <family val="2"/>
        <scheme val="minor"/>
      </rPr>
      <t>θ</t>
    </r>
    <r>
      <rPr>
        <sz val="11"/>
        <color theme="1"/>
        <rFont val="Calibri"/>
        <family val="2"/>
        <scheme val="minor"/>
      </rPr>
      <t>=</t>
    </r>
  </si>
  <si>
    <t>Tensão Cisalhante polar</t>
  </si>
  <si>
    <t>Item 7.2.1.6.25 - NBR9062:2017</t>
  </si>
  <si>
    <r>
      <t>τ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</si>
  <si>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>Στ=</t>
  </si>
  <si>
    <t>Tensão de Cisalhamento total</t>
  </si>
  <si>
    <t>Στ/τlim=</t>
  </si>
  <si>
    <t>Tensão de cisalhamento Permanente</t>
  </si>
  <si>
    <t>Verificação 6</t>
  </si>
  <si>
    <t>Tensão de cisalhamento Total</t>
  </si>
  <si>
    <t>2.5 CÁLCULO DEFORMAÇÕES DE BORDA</t>
  </si>
  <si>
    <t>2.5.1 CÁLCULO DEFORMAÇÕES DE BORDA PERMANENTE</t>
  </si>
  <si>
    <r>
      <t>σ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=</t>
    </r>
  </si>
  <si>
    <r>
      <t>tg</t>
    </r>
    <r>
      <rPr>
        <vertAlign val="subscript"/>
        <sz val="11"/>
        <color theme="1"/>
        <rFont val="Calibri"/>
        <family val="2"/>
        <scheme val="minor"/>
      </rPr>
      <t>θg</t>
    </r>
    <r>
      <rPr>
        <sz val="11"/>
        <color theme="1"/>
        <rFont val="Calibri"/>
        <family val="2"/>
        <scheme val="minor"/>
      </rPr>
      <t>=</t>
    </r>
  </si>
  <si>
    <t xml:space="preserve">Tangente do ângulo de deformação </t>
  </si>
  <si>
    <t>2.5.1 CÁLCULO DEFORMAÇÕES DE BORDA TOTAIS</t>
  </si>
  <si>
    <t>Espessura total do aparelho de apoio</t>
  </si>
  <si>
    <t>1.5.2 DADOS GEOMÉTRICOS CHAPA</t>
  </si>
  <si>
    <t>1.5.1 DADOS GEOMÉTRICOS CONJUNTO</t>
  </si>
  <si>
    <t>hi=</t>
  </si>
  <si>
    <t>hs=</t>
  </si>
  <si>
    <t>a'=</t>
  </si>
  <si>
    <t>b'=</t>
  </si>
  <si>
    <t>Menor comprimento horizontal da chapa do aparelho de apoio</t>
  </si>
  <si>
    <t>Maior comprimento horizontal da chapa do aparelho de apoio</t>
  </si>
  <si>
    <t>Si=</t>
  </si>
  <si>
    <t>A=</t>
  </si>
  <si>
    <t>Dureza do aparelho de apoio</t>
  </si>
  <si>
    <t>A</t>
  </si>
  <si>
    <t>θ=</t>
  </si>
  <si>
    <t>Rotação ângular máxima do material</t>
  </si>
  <si>
    <t>Ângulo de deformação máximo</t>
  </si>
  <si>
    <t>A norma não deixa claro se os valores de saida serão em radianos ou não -&gt; talvez não importe pq tangente é um tamanho. A priori posso expressar isso em radianos ou graus sem problemas</t>
  </si>
  <si>
    <t>h1=</t>
  </si>
  <si>
    <t>θ/θlim=</t>
  </si>
  <si>
    <t>Fator de forma</t>
  </si>
  <si>
    <t>y</t>
  </si>
  <si>
    <t>id</t>
  </si>
  <si>
    <t>Forma - Planta</t>
  </si>
  <si>
    <t>Chapas</t>
  </si>
  <si>
    <t>Cobrimento</t>
  </si>
  <si>
    <t>ch</t>
  </si>
  <si>
    <t>Offset</t>
  </si>
  <si>
    <t>Ligar</t>
  </si>
  <si>
    <t>Espaçamento entre chapa e borda na direção do eixo x</t>
  </si>
  <si>
    <t>Espaçamento entre chapa e borda na direção do eixo y</t>
  </si>
  <si>
    <t>Quantidade de lâminas de chapa de aço</t>
  </si>
  <si>
    <t xml:space="preserve">                                                                                                                                              </t>
  </si>
  <si>
    <t>Verificação 7</t>
  </si>
  <si>
    <t>Deformações de Borda Permamente</t>
  </si>
  <si>
    <t>Verificação 8</t>
  </si>
  <si>
    <t>2.6 CÁLCULO TENSÃO DE CISALHAMENTO</t>
  </si>
  <si>
    <t>2.6.1 CÁLCULO TENSÃO DE CISALHAMENTO PERMANENTE</t>
  </si>
  <si>
    <t>2.6.2 CÁLCULO TENSÃO DE CISALHAMENTO TOTAIS</t>
  </si>
  <si>
    <r>
      <t>tg</t>
    </r>
    <r>
      <rPr>
        <vertAlign val="subscript"/>
        <sz val="11"/>
        <color theme="1"/>
        <rFont val="Calibri"/>
        <family val="2"/>
        <scheme val="minor"/>
      </rPr>
      <t>θg+q</t>
    </r>
    <r>
      <rPr>
        <sz val="11"/>
        <color theme="1"/>
        <rFont val="Calibri"/>
        <family val="2"/>
        <scheme val="minor"/>
      </rPr>
      <t>=</t>
    </r>
  </si>
  <si>
    <t xml:space="preserve">Força de Atrito de Coulomb limite </t>
  </si>
  <si>
    <t>Tensão de cisalhamento limite no elastômero</t>
  </si>
  <si>
    <t>Tensão de cisalhamento limite elastômero</t>
  </si>
  <si>
    <t>Breno</t>
  </si>
  <si>
    <t>Versão</t>
  </si>
  <si>
    <t>Estabilidade ao deslizamento</t>
  </si>
  <si>
    <t>Item 7.2.1.6.21 - NBR9062:2017</t>
  </si>
  <si>
    <t xml:space="preserve">Deslocamento Transversal limite </t>
  </si>
  <si>
    <t>Deslocamento Transversal por Carga Acidental</t>
  </si>
  <si>
    <t>Deslocamento Transversal por Carga Permanente</t>
  </si>
  <si>
    <t>Item 7.2.1.6.24 - NBR9062:2017</t>
  </si>
  <si>
    <r>
      <t>a'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</si>
  <si>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t>AVISO</t>
  </si>
  <si>
    <t>A Norma NBR9062:2017 não é exatamente clara nesse ponto: fisicamente parece ser mais aceitável o comportamento de bloco para esforço normais (como feito no item 7.2.6.19 da mesma norma). Todavia, a norma recomenda o uso de valores experimentais para faixas de elastômero segundo o item 7.2.6.24</t>
  </si>
  <si>
    <t>Aceitasse a premissa de comportamento Elástico</t>
  </si>
  <si>
    <t>UserName</t>
  </si>
  <si>
    <t>Forma-Desloc</t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</si>
  <si>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</si>
  <si>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S=</t>
  </si>
  <si>
    <t>Fator de forma para consideração do formato do elastômero no cálculo das def/forças</t>
  </si>
  <si>
    <t>Item 5.3.3.1 - EN 1337-3:2005</t>
  </si>
  <si>
    <t>Cálculos conforme EEN 1337-3:2005</t>
  </si>
  <si>
    <r>
      <t xml:space="preserve">Planilha aplicável para cálculo de aparelhos de apoio </t>
    </r>
    <r>
      <rPr>
        <b/>
        <sz val="11"/>
        <color theme="1"/>
        <rFont val="Calibri"/>
        <family val="2"/>
        <scheme val="minor"/>
      </rPr>
      <t>FRETADO SEM FUROS</t>
    </r>
  </si>
  <si>
    <r>
      <t>v</t>
    </r>
    <r>
      <rPr>
        <vertAlign val="subscript"/>
        <sz val="11"/>
        <color theme="1"/>
        <rFont val="Calibri"/>
        <family val="2"/>
        <scheme val="minor"/>
      </rPr>
      <t>X,D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</si>
  <si>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vertAlign val="subscript"/>
        <sz val="11"/>
        <color theme="1"/>
        <rFont val="Calibri"/>
        <family val="2"/>
        <scheme val="minor"/>
      </rPr>
      <t>y,D</t>
    </r>
    <r>
      <rPr>
        <sz val="11"/>
        <color theme="1"/>
        <rFont val="Calibri"/>
        <family val="2"/>
        <scheme val="minor"/>
      </rPr>
      <t>=</t>
    </r>
  </si>
  <si>
    <t>Deslocamento relativo máximo do aparelho de apoio na direção do eixo x</t>
  </si>
  <si>
    <t>Deslocamento relativo máximo do aparelho de apoio na direção do eixo y</t>
  </si>
  <si>
    <t>2.1 CÁLCULO DEFORMAÇÃO MÁXIMA</t>
  </si>
  <si>
    <r>
      <t>ε</t>
    </r>
    <r>
      <rPr>
        <vertAlign val="subscript"/>
        <sz val="11"/>
        <color theme="1"/>
        <rFont val="Calibri"/>
        <family val="2"/>
        <scheme val="minor"/>
      </rPr>
      <t>c,d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</si>
  <si>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</si>
  <si>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t>1.5.2 DADOS GEOMÉTRICOS CAMADA</t>
  </si>
  <si>
    <t>mm²</t>
  </si>
  <si>
    <r>
      <t>ε</t>
    </r>
    <r>
      <rPr>
        <vertAlign val="subscript"/>
        <sz val="11"/>
        <color theme="1"/>
        <rFont val="Calibri"/>
        <family val="2"/>
        <scheme val="minor"/>
      </rPr>
      <t>q,d</t>
    </r>
    <r>
      <rPr>
        <sz val="11"/>
        <color theme="1"/>
        <rFont val="Calibri"/>
        <family val="2"/>
        <scheme val="minor"/>
      </rPr>
      <t>=</t>
    </r>
  </si>
  <si>
    <t>Item 5.3.3.2 - EN 1337-3:2005</t>
  </si>
  <si>
    <t>Deformação por tensão transversal</t>
  </si>
  <si>
    <t>Deformação por compressão</t>
  </si>
  <si>
    <t>Item 5.3.3.3 - EN 1337-3:2005</t>
  </si>
  <si>
    <t>Deformação por tensão transversal limite</t>
  </si>
  <si>
    <t>2.1.1 CÁLCULO DEFORMAÇÕES POR COMPRESSÃO</t>
  </si>
  <si>
    <t>2.1.2 CÁLCULO DEFORMAÇÕES POR CISALHAMENTO</t>
  </si>
  <si>
    <t>2.1.3 CÁLCULO DEFORMAÇÕES ÂNGULAR ROTAÇÃO</t>
  </si>
  <si>
    <r>
      <t>ε</t>
    </r>
    <r>
      <rPr>
        <vertAlign val="subscript"/>
        <sz val="11"/>
        <color theme="1"/>
        <rFont val="Calibri"/>
        <family val="2"/>
        <scheme val="minor"/>
      </rPr>
      <t>α,d</t>
    </r>
    <r>
      <rPr>
        <sz val="11"/>
        <color theme="1"/>
        <rFont val="Calibri"/>
        <family val="2"/>
        <scheme val="minor"/>
      </rPr>
      <t>=</t>
    </r>
  </si>
  <si>
    <t>αa,d=</t>
  </si>
  <si>
    <t>αb,d=</t>
  </si>
  <si>
    <t>Rotação ângular máxima do material na direção da menor dimensão</t>
  </si>
  <si>
    <t>Rotação ângular máxima do material na direção da maior dimensão</t>
  </si>
  <si>
    <r>
      <t>γ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=</t>
    </r>
  </si>
  <si>
    <t>Item 5.3.3 - EN 1337-3:2005</t>
  </si>
  <si>
    <t>Fator de segurança da deformação máxima</t>
  </si>
  <si>
    <r>
      <t>ε</t>
    </r>
    <r>
      <rPr>
        <vertAlign val="subscript"/>
        <sz val="11"/>
        <color theme="1"/>
        <rFont val="Calibri"/>
        <family val="2"/>
        <scheme val="minor"/>
      </rPr>
      <t>u,d</t>
    </r>
    <r>
      <rPr>
        <sz val="11"/>
        <color theme="1"/>
        <rFont val="Calibri"/>
        <family val="2"/>
        <scheme val="minor"/>
      </rPr>
      <t>=</t>
    </r>
  </si>
  <si>
    <r>
      <t>ε</t>
    </r>
    <r>
      <rPr>
        <vertAlign val="subscript"/>
        <sz val="11"/>
        <color theme="1"/>
        <rFont val="Calibri"/>
        <family val="2"/>
        <scheme val="minor"/>
      </rPr>
      <t>u,k</t>
    </r>
    <r>
      <rPr>
        <sz val="11"/>
        <color theme="1"/>
        <rFont val="Calibri"/>
        <family val="2"/>
        <scheme val="minor"/>
      </rPr>
      <t>=</t>
    </r>
  </si>
  <si>
    <t>Deformação limite característica do aparelho</t>
  </si>
  <si>
    <t>Deformação limite de cálculo do aparelho</t>
  </si>
  <si>
    <r>
      <t>ε</t>
    </r>
    <r>
      <rPr>
        <vertAlign val="subscript"/>
        <sz val="11"/>
        <color theme="1"/>
        <rFont val="Calibri"/>
        <family val="2"/>
        <scheme val="minor"/>
      </rPr>
      <t>t,d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</si>
  <si>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vertAlign val="subscript"/>
        <sz val="11"/>
        <color theme="1"/>
        <rFont val="Calibri"/>
        <family val="2"/>
        <scheme val="minor"/>
      </rPr>
      <t>x,y</t>
    </r>
    <r>
      <rPr>
        <sz val="11"/>
        <color theme="1"/>
        <rFont val="Calibri"/>
        <family val="2"/>
        <scheme val="minor"/>
      </rPr>
      <t>=</t>
    </r>
  </si>
  <si>
    <t>Item 5.3.3.4 - EN 1337-3:2005</t>
  </si>
  <si>
    <t>Deslocamento relativo horizontal resultante</t>
  </si>
  <si>
    <r>
      <t>ε</t>
    </r>
    <r>
      <rPr>
        <vertAlign val="subscript"/>
        <sz val="11"/>
        <color theme="1"/>
        <rFont val="Calibri"/>
        <family val="2"/>
        <scheme val="minor"/>
      </rPr>
      <t>q,d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q,d</t>
    </r>
    <r>
      <rPr>
        <sz val="11"/>
        <color theme="1"/>
        <rFont val="Calibri"/>
        <family val="2"/>
        <scheme val="minor"/>
      </rPr>
      <t>=</t>
    </r>
  </si>
  <si>
    <r>
      <t>ε</t>
    </r>
    <r>
      <rPr>
        <vertAlign val="subscript"/>
        <sz val="11"/>
        <color theme="1"/>
        <rFont val="Calibri"/>
        <family val="2"/>
        <scheme val="minor"/>
      </rPr>
      <t>t,d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u,d</t>
    </r>
    <r>
      <rPr>
        <sz val="11"/>
        <color theme="1"/>
        <rFont val="Calibri"/>
        <family val="2"/>
        <scheme val="minor"/>
      </rPr>
      <t>=</t>
    </r>
  </si>
  <si>
    <t>Deformação por cisalhamento</t>
  </si>
  <si>
    <r>
      <t>K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=</t>
    </r>
  </si>
  <si>
    <t>Fator de tipo de carregamento</t>
  </si>
  <si>
    <t xml:space="preserve"> Item C.1 - EN 1337-3:2005</t>
  </si>
  <si>
    <t>Carregamento</t>
  </si>
  <si>
    <t>KL</t>
  </si>
  <si>
    <t>KL Trem-tipo</t>
  </si>
  <si>
    <t>KL Geral</t>
  </si>
  <si>
    <t>2.2 CÁLCULO ESPESSURA DA LÂMINA DE CHAPA DE AÇO</t>
  </si>
  <si>
    <r>
      <t>t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</si>
  <si>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</si>
  <si>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t>Item 5.3.3.5 - EN 1337-3:2005</t>
  </si>
  <si>
    <t>Fator de correção da distribuição de tensões</t>
  </si>
  <si>
    <t>fy=</t>
  </si>
  <si>
    <t>Resistência característica do aço ao escoamento</t>
  </si>
  <si>
    <t>ts/ti=</t>
  </si>
  <si>
    <r>
      <t>K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</si>
  <si>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t>Fator de tensão residual na lâmina da chapa induzida por furos</t>
  </si>
  <si>
    <t>Furos</t>
  </si>
  <si>
    <t>1.5 DADOS CONST NORMA</t>
  </si>
  <si>
    <t>Aparelho Furado</t>
  </si>
  <si>
    <t>Aperlho Não Furado</t>
  </si>
  <si>
    <r>
      <t>Σv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</si>
  <si>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vertAlign val="subscript"/>
        <sz val="11"/>
        <color theme="1"/>
        <rFont val="Calibri"/>
        <family val="2"/>
        <scheme val="minor"/>
      </rPr>
      <t>z,mín</t>
    </r>
    <r>
      <rPr>
        <sz val="11"/>
        <color theme="1"/>
        <rFont val="Calibri"/>
        <family val="2"/>
        <scheme val="minor"/>
      </rPr>
      <t>=</t>
    </r>
  </si>
  <si>
    <t>Item 5.3.3.6 - EN 1337-3:2005</t>
  </si>
  <si>
    <t>2.3 CÁLCULO DESLOCAMENTO LIMITE POR ROTAÇÃO</t>
  </si>
  <si>
    <t>Deslocamento rotacional acumulado</t>
  </si>
  <si>
    <t xml:space="preserve"> Item B.1 - EN 1337-3:2005</t>
  </si>
  <si>
    <t>Fator de limite de rotação</t>
  </si>
  <si>
    <r>
      <t>K</t>
    </r>
    <r>
      <rPr>
        <vertAlign val="subscript"/>
        <sz val="11"/>
        <color theme="1"/>
        <rFont val="Calibri"/>
        <family val="2"/>
        <scheme val="minor"/>
      </rPr>
      <t>r,d</t>
    </r>
    <r>
      <rPr>
        <sz val="11"/>
        <color theme="1"/>
        <rFont val="Calibri"/>
        <family val="2"/>
        <scheme val="minor"/>
      </rPr>
      <t>=</t>
    </r>
  </si>
  <si>
    <t>2.4 CÁLCULO FLAMBAGEM</t>
  </si>
  <si>
    <t>Pressão de contato na interface concreto apoio</t>
  </si>
  <si>
    <r>
      <t>σ</t>
    </r>
    <r>
      <rPr>
        <vertAlign val="subscript"/>
        <sz val="11"/>
        <color theme="1"/>
        <rFont val="Calibri"/>
        <family val="2"/>
        <scheme val="minor"/>
      </rPr>
      <t>máx</t>
    </r>
    <r>
      <rPr>
        <sz val="11"/>
        <color theme="1"/>
        <rFont val="Calibri"/>
        <family val="2"/>
        <scheme val="minor"/>
      </rPr>
      <t>=</t>
    </r>
  </si>
  <si>
    <t>2.5 CÁLCULO DESLIZAMENTO</t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</si>
  <si>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</t>
    </r>
  </si>
  <si>
    <r>
      <t>H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=</t>
    </r>
  </si>
  <si>
    <t>Carregamento externo horizontal na direção da menor dimensão</t>
  </si>
  <si>
    <t>Carregamento externo horizontal na direção da maior dimensão</t>
  </si>
  <si>
    <r>
      <t>F</t>
    </r>
    <r>
      <rPr>
        <vertAlign val="subscript"/>
        <sz val="11"/>
        <color theme="1"/>
        <rFont val="Calibri"/>
        <family val="2"/>
        <scheme val="minor"/>
      </rPr>
      <t>xy,d</t>
    </r>
    <r>
      <rPr>
        <sz val="11"/>
        <color theme="1"/>
        <rFont val="Calibri"/>
        <family val="2"/>
        <scheme val="minor"/>
      </rPr>
      <t>=</t>
    </r>
  </si>
  <si>
    <t>KN</t>
  </si>
  <si>
    <t>Força externa horizontal resultante no aparelho</t>
  </si>
  <si>
    <r>
      <t>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=</t>
    </r>
  </si>
  <si>
    <r>
      <t>μ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=</t>
    </r>
  </si>
  <si>
    <t>Coeficiente de atrito de Coloumb</t>
  </si>
  <si>
    <t>material</t>
  </si>
  <si>
    <t>Concreto</t>
  </si>
  <si>
    <t>Outros</t>
  </si>
  <si>
    <r>
      <t>K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=</t>
    </r>
  </si>
  <si>
    <t>Coeficiente de tipo de material da superfície</t>
  </si>
  <si>
    <r>
      <t>N</t>
    </r>
    <r>
      <rPr>
        <vertAlign val="subscript"/>
        <sz val="11"/>
        <color theme="1"/>
        <rFont val="Calibri"/>
        <family val="2"/>
        <scheme val="minor"/>
      </rPr>
      <t>mín</t>
    </r>
    <r>
      <rPr>
        <sz val="11"/>
        <color theme="1"/>
        <rFont val="Calibri"/>
        <family val="2"/>
        <scheme val="minor"/>
      </rPr>
      <t>=</t>
    </r>
  </si>
  <si>
    <t xml:space="preserve">Carregamento externo vertical permamente </t>
  </si>
  <si>
    <t>Carregamento externo vertical total</t>
  </si>
  <si>
    <t>Força resistente de atrito estático</t>
  </si>
  <si>
    <r>
      <t>F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</si>
  <si>
    <t>2.5.1 CÁLCULO TENSÕES ADMISSÍVEIS</t>
  </si>
  <si>
    <t>2.5.2 CÁLCULO RESISTÊNCIA AO DESLIZAMENTO</t>
  </si>
  <si>
    <r>
      <t>σ</t>
    </r>
    <r>
      <rPr>
        <vertAlign val="subscript"/>
        <sz val="11"/>
        <color theme="1"/>
        <rFont val="Calibri"/>
        <family val="2"/>
        <scheme val="minor"/>
      </rPr>
      <t>mín</t>
    </r>
    <r>
      <rPr>
        <sz val="11"/>
        <color theme="1"/>
        <rFont val="Calibri"/>
        <family val="2"/>
        <scheme val="minor"/>
      </rPr>
      <t>=</t>
    </r>
  </si>
  <si>
    <t>Espessura mínima da lâmina de chapa de aço</t>
  </si>
  <si>
    <t xml:space="preserve"> </t>
  </si>
  <si>
    <t xml:space="preserve">Tq= </t>
  </si>
  <si>
    <t>Espessura total do elastômero incluindo o cobrimento vertical</t>
  </si>
  <si>
    <r>
      <t>N</t>
    </r>
    <r>
      <rPr>
        <vertAlign val="subscript"/>
        <sz val="11"/>
        <color theme="1"/>
        <rFont val="Calibri"/>
        <family val="2"/>
        <scheme val="minor"/>
      </rPr>
      <t>máx</t>
    </r>
    <r>
      <rPr>
        <sz val="11"/>
        <color theme="1"/>
        <rFont val="Calibri"/>
        <family val="2"/>
        <scheme val="minor"/>
      </rPr>
      <t>=</t>
    </r>
  </si>
  <si>
    <t>Carregamento externo vertical máximo</t>
  </si>
  <si>
    <t>Área de elastômero efetiva entre chapas de aço</t>
  </si>
  <si>
    <t>Status: Conferido</t>
  </si>
  <si>
    <t>Espessura da lâmina de chapa de aço</t>
  </si>
  <si>
    <t>Deslocamento por rotação</t>
  </si>
  <si>
    <t>Flambagem</t>
  </si>
  <si>
    <t>Tensões admissíveis</t>
  </si>
  <si>
    <t>Resistência ao deslizamento</t>
  </si>
  <si>
    <t>ti=</t>
  </si>
  <si>
    <t>Planilha</t>
  </si>
  <si>
    <t>NBR</t>
  </si>
  <si>
    <t>EURO</t>
  </si>
  <si>
    <t>Rotação ângular máxima na direção de a</t>
  </si>
  <si>
    <t>Rotação ângular máxima na direção de b</t>
  </si>
  <si>
    <t>Pressão de contato limite na interface concreto-apoio</t>
  </si>
  <si>
    <t xml:space="preserve">Pressão de contato permanente na interface </t>
  </si>
  <si>
    <t xml:space="preserve">Pressão de contato permanente limite na interface </t>
  </si>
  <si>
    <t>Área efetiva de elastômero reduzida de defor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</si>
</sst>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D428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2D1D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DDA46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/>
      <top style="thin">
        <color auto="1"/>
      </top>
      <bottom/>
      <diagonal/>
    </border>
    <border>
      <left style="thin">
        <color indexed="64"/>
      </left>
      <right style="thin">
        <color rgb="FF3F3F3F"/>
      </right>
      <top style="thin">
        <color auto="1"/>
      </top>
      <bottom/>
      <diagonal/>
    </border>
    <border>
      <left style="thin">
        <color indexed="64"/>
      </left>
      <right style="thin">
        <color rgb="FF3F3F3F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2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right"/>
    </xf>
    <xf numFmtId="2" fontId="0" fillId="8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4" fillId="0" borderId="10" xfId="0" applyFont="1" applyBorder="1" applyAlignment="1">
      <alignment horizontal="right"/>
    </xf>
    <xf numFmtId="2" fontId="0" fillId="9" borderId="2" xfId="0" applyNumberFormat="1" applyFill="1" applyBorder="1" applyAlignment="1">
      <alignment horizontal="center" vertical="center"/>
    </xf>
    <xf numFmtId="2" fontId="0" fillId="10" borderId="2" xfId="0" applyNumberFormat="1" applyFill="1" applyBorder="1" applyAlignment="1">
      <alignment horizontal="center"/>
    </xf>
    <xf numFmtId="0" fontId="0" fillId="0" borderId="11" xfId="0" applyBorder="1" applyAlignment="1">
      <alignment vertical="center"/>
    </xf>
    <xf numFmtId="0" fontId="2" fillId="7" borderId="6" xfId="1" applyFont="1" applyFill="1" applyBorder="1" applyAlignment="1"/>
    <xf numFmtId="0" fontId="2" fillId="7" borderId="5" xfId="1" applyFont="1" applyFill="1" applyBorder="1" applyAlignment="1"/>
    <xf numFmtId="0" fontId="2" fillId="7" borderId="8" xfId="1" applyFont="1" applyFill="1" applyBorder="1" applyAlignment="1">
      <alignment horizontal="center"/>
    </xf>
    <xf numFmtId="0" fontId="8" fillId="0" borderId="0" xfId="0" applyFont="1"/>
    <xf numFmtId="2" fontId="0" fillId="0" borderId="2" xfId="0" applyNumberFormat="1" applyBorder="1" applyAlignment="1">
      <alignment horizontal="center"/>
    </xf>
    <xf numFmtId="0" fontId="3" fillId="0" borderId="0" xfId="0" applyFont="1"/>
    <xf numFmtId="0" fontId="9" fillId="11" borderId="2" xfId="1" applyFont="1" applyFill="1" applyBorder="1" applyAlignment="1">
      <alignment horizontal="center"/>
    </xf>
    <xf numFmtId="0" fontId="0" fillId="0" borderId="10" xfId="0" applyBorder="1" applyAlignment="1">
      <alignment horizontal="right" vertical="center"/>
    </xf>
    <xf numFmtId="4" fontId="7" fillId="3" borderId="2" xfId="0" applyNumberFormat="1" applyFont="1" applyFill="1" applyBorder="1" applyAlignment="1">
      <alignment horizontal="center" vertical="center"/>
    </xf>
    <xf numFmtId="3" fontId="2" fillId="7" borderId="8" xfId="1" applyNumberFormat="1" applyFont="1" applyFill="1" applyBorder="1" applyAlignment="1">
      <alignment horizontal="center"/>
    </xf>
    <xf numFmtId="0" fontId="2" fillId="7" borderId="9" xfId="1" applyFont="1" applyFill="1" applyBorder="1" applyAlignment="1">
      <alignment horizontal="center"/>
    </xf>
    <xf numFmtId="0" fontId="0" fillId="15" borderId="2" xfId="0" applyFill="1" applyBorder="1"/>
    <xf numFmtId="0" fontId="10" fillId="0" borderId="2" xfId="0" applyFont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7" borderId="2" xfId="0" applyFill="1" applyBorder="1"/>
    <xf numFmtId="0" fontId="0" fillId="12" borderId="2" xfId="0" applyFill="1" applyBorder="1"/>
    <xf numFmtId="0" fontId="0" fillId="18" borderId="2" xfId="0" applyFill="1" applyBorder="1"/>
    <xf numFmtId="0" fontId="0" fillId="14" borderId="2" xfId="0" applyFill="1" applyBorder="1"/>
    <xf numFmtId="0" fontId="0" fillId="9" borderId="2" xfId="0" applyFill="1" applyBorder="1"/>
    <xf numFmtId="0" fontId="0" fillId="19" borderId="2" xfId="0" applyFill="1" applyBorder="1"/>
    <xf numFmtId="0" fontId="3" fillId="16" borderId="2" xfId="0" applyFont="1" applyFill="1" applyBorder="1"/>
    <xf numFmtId="0" fontId="0" fillId="0" borderId="8" xfId="0" applyBorder="1" applyAlignment="1">
      <alignment horizontal="center"/>
    </xf>
    <xf numFmtId="0" fontId="7" fillId="0" borderId="0" xfId="0" applyFont="1"/>
    <xf numFmtId="0" fontId="11" fillId="0" borderId="0" xfId="0" applyFont="1"/>
    <xf numFmtId="0" fontId="0" fillId="0" borderId="5" xfId="0" applyBorder="1" applyAlignment="1">
      <alignment horizontal="left" vertical="center"/>
    </xf>
    <xf numFmtId="0" fontId="0" fillId="0" borderId="4" xfId="0" applyBorder="1"/>
    <xf numFmtId="0" fontId="2" fillId="7" borderId="5" xfId="1" applyFont="1" applyFill="1" applyBorder="1" applyAlignment="1">
      <alignment horizontal="center"/>
    </xf>
    <xf numFmtId="3" fontId="2" fillId="7" borderId="5" xfId="1" applyNumberFormat="1" applyFont="1" applyFill="1" applyBorder="1" applyAlignment="1">
      <alignment horizontal="center"/>
    </xf>
    <xf numFmtId="0" fontId="2" fillId="7" borderId="4" xfId="1" applyFont="1" applyFill="1" applyBorder="1" applyAlignment="1">
      <alignment horizontal="center"/>
    </xf>
    <xf numFmtId="0" fontId="2" fillId="7" borderId="17" xfId="1" applyFont="1" applyFill="1" applyBorder="1" applyAlignment="1"/>
    <xf numFmtId="0" fontId="0" fillId="0" borderId="0" xfId="0" applyAlignment="1">
      <alignment horizontal="right"/>
    </xf>
    <xf numFmtId="0" fontId="2" fillId="7" borderId="15" xfId="1" applyFont="1" applyFill="1" applyBorder="1" applyAlignment="1"/>
    <xf numFmtId="0" fontId="2" fillId="7" borderId="8" xfId="1" applyFont="1" applyFill="1" applyBorder="1" applyAlignment="1"/>
    <xf numFmtId="0" fontId="6" fillId="7" borderId="8" xfId="1" applyFont="1" applyFill="1" applyBorder="1" applyAlignment="1">
      <alignment horizontal="center"/>
    </xf>
    <xf numFmtId="0" fontId="2" fillId="7" borderId="3" xfId="1" applyFont="1" applyFill="1" applyBorder="1" applyAlignment="1"/>
    <xf numFmtId="0" fontId="6" fillId="7" borderId="5" xfId="1" applyFont="1" applyFill="1" applyBorder="1" applyAlignment="1">
      <alignment horizontal="center"/>
    </xf>
    <xf numFmtId="4" fontId="7" fillId="3" borderId="18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3" borderId="3" xfId="1" applyFont="1" applyFill="1" applyBorder="1" applyAlignment="1"/>
    <xf numFmtId="0" fontId="2" fillId="3" borderId="5" xfId="1" applyFont="1" applyFill="1" applyBorder="1" applyAlignment="1"/>
    <xf numFmtId="3" fontId="2" fillId="3" borderId="5" xfId="1" applyNumberFormat="1" applyFont="1" applyFill="1" applyBorder="1" applyAlignment="1">
      <alignment horizontal="center"/>
    </xf>
    <xf numFmtId="0" fontId="6" fillId="3" borderId="5" xfId="1" applyFont="1" applyFill="1" applyBorder="1" applyAlignment="1">
      <alignment horizontal="center"/>
    </xf>
    <xf numFmtId="0" fontId="2" fillId="3" borderId="5" xfId="1" applyFont="1" applyFill="1" applyBorder="1" applyAlignment="1">
      <alignment horizontal="center"/>
    </xf>
    <xf numFmtId="0" fontId="2" fillId="3" borderId="4" xfId="1" applyFont="1" applyFill="1" applyBorder="1" applyAlignment="1">
      <alignment horizontal="center"/>
    </xf>
    <xf numFmtId="0" fontId="2" fillId="3" borderId="15" xfId="1" applyFont="1" applyFill="1" applyBorder="1" applyAlignment="1"/>
    <xf numFmtId="0" fontId="2" fillId="3" borderId="8" xfId="1" applyFont="1" applyFill="1" applyBorder="1" applyAlignment="1"/>
    <xf numFmtId="3" fontId="2" fillId="3" borderId="8" xfId="1" applyNumberFormat="1" applyFont="1" applyFill="1" applyBorder="1" applyAlignment="1">
      <alignment horizontal="center"/>
    </xf>
    <xf numFmtId="0" fontId="6" fillId="3" borderId="8" xfId="1" applyFont="1" applyFill="1" applyBorder="1" applyAlignment="1">
      <alignment horizontal="center"/>
    </xf>
    <xf numFmtId="0" fontId="2" fillId="3" borderId="8" xfId="1" applyFont="1" applyFill="1" applyBorder="1" applyAlignment="1">
      <alignment horizontal="center"/>
    </xf>
    <xf numFmtId="0" fontId="2" fillId="3" borderId="9" xfId="1" applyFon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18" xfId="0" applyBorder="1" applyAlignment="1">
      <alignment horizontal="center"/>
    </xf>
    <xf numFmtId="11" fontId="7" fillId="3" borderId="2" xfId="0" applyNumberFormat="1" applyFont="1" applyFill="1" applyBorder="1" applyAlignment="1">
      <alignment horizontal="center" vertical="center"/>
    </xf>
    <xf numFmtId="11" fontId="0" fillId="8" borderId="2" xfId="0" applyNumberForma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0" xfId="0" applyNumberFormat="1"/>
    <xf numFmtId="2" fontId="0" fillId="0" borderId="4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8" fillId="0" borderId="8" xfId="0" applyFont="1" applyBorder="1"/>
    <xf numFmtId="0" fontId="0" fillId="0" borderId="8" xfId="0" applyBorder="1" applyAlignment="1">
      <alignment vertical="center"/>
    </xf>
    <xf numFmtId="0" fontId="8" fillId="0" borderId="11" xfId="0" applyFont="1" applyBorder="1"/>
    <xf numFmtId="0" fontId="0" fillId="0" borderId="0" xfId="0" applyAlignment="1">
      <alignment horizontal="left"/>
    </xf>
    <xf numFmtId="0" fontId="0" fillId="0" borderId="3" xfId="0" applyBorder="1"/>
    <xf numFmtId="1" fontId="0" fillId="8" borderId="2" xfId="0" applyNumberFormat="1" applyFill="1" applyBorder="1" applyAlignment="1">
      <alignment horizontal="center" vertical="center"/>
    </xf>
    <xf numFmtId="0" fontId="0" fillId="21" borderId="0" xfId="0" applyFill="1"/>
    <xf numFmtId="4" fontId="0" fillId="0" borderId="2" xfId="0" applyNumberFormat="1" applyBorder="1"/>
    <xf numFmtId="2" fontId="0" fillId="0" borderId="2" xfId="0" applyNumberFormat="1" applyBorder="1"/>
    <xf numFmtId="0" fontId="0" fillId="0" borderId="26" xfId="0" applyBorder="1"/>
    <xf numFmtId="2" fontId="0" fillId="0" borderId="26" xfId="0" applyNumberFormat="1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2" fontId="0" fillId="0" borderId="23" xfId="0" applyNumberFormat="1" applyBorder="1"/>
    <xf numFmtId="0" fontId="0" fillId="0" borderId="24" xfId="0" applyBorder="1"/>
    <xf numFmtId="2" fontId="0" fillId="0" borderId="25" xfId="0" applyNumberFormat="1" applyBorder="1"/>
    <xf numFmtId="0" fontId="2" fillId="16" borderId="3" xfId="0" applyFont="1" applyFill="1" applyBorder="1" applyAlignment="1">
      <alignment horizontal="center"/>
    </xf>
    <xf numFmtId="0" fontId="2" fillId="16" borderId="4" xfId="0" applyFont="1" applyFill="1" applyBorder="1" applyAlignment="1">
      <alignment horizontal="center"/>
    </xf>
    <xf numFmtId="4" fontId="7" fillId="20" borderId="5" xfId="0" applyNumberFormat="1" applyFont="1" applyFill="1" applyBorder="1" applyAlignment="1">
      <alignment horizontal="center" vertical="center"/>
    </xf>
    <xf numFmtId="0" fontId="2" fillId="11" borderId="3" xfId="1" applyFont="1" applyFill="1" applyBorder="1" applyAlignment="1">
      <alignment horizontal="center"/>
    </xf>
    <xf numFmtId="0" fontId="2" fillId="11" borderId="5" xfId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2" fillId="13" borderId="3" xfId="1" applyFont="1" applyFill="1" applyBorder="1" applyAlignment="1">
      <alignment horizontal="center"/>
    </xf>
    <xf numFmtId="0" fontId="2" fillId="13" borderId="5" xfId="1" applyFont="1" applyFill="1" applyBorder="1" applyAlignment="1">
      <alignment horizontal="center"/>
    </xf>
    <xf numFmtId="0" fontId="2" fillId="13" borderId="4" xfId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7" borderId="16" xfId="1" applyFont="1" applyFill="1" applyBorder="1" applyAlignment="1">
      <alignment horizontal="center"/>
    </xf>
    <xf numFmtId="0" fontId="2" fillId="7" borderId="15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8" xfId="0" applyBorder="1" applyAlignment="1">
      <alignment horizontal="center"/>
    </xf>
    <xf numFmtId="0" fontId="0" fillId="0" borderId="10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21" borderId="9" xfId="0" applyFill="1" applyBorder="1"/>
    <xf numFmtId="0" fontId="0" fillId="0" borderId="0" xfId="0" applyBorder="1" applyAlignment="1">
      <alignment horizontal="center"/>
    </xf>
    <xf numFmtId="0" fontId="0" fillId="21" borderId="12" xfId="0" applyFill="1" applyBorder="1"/>
    <xf numFmtId="0" fontId="0" fillId="21" borderId="11" xfId="0" applyFill="1" applyBorder="1"/>
    <xf numFmtId="0" fontId="0" fillId="21" borderId="14" xfId="0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vertical="center"/>
    </xf>
    <xf numFmtId="3" fontId="2" fillId="7" borderId="26" xfId="1" applyNumberFormat="1" applyFont="1" applyFill="1" applyBorder="1" applyAlignment="1">
      <alignment horizontal="center"/>
    </xf>
    <xf numFmtId="0" fontId="0" fillId="0" borderId="0" xfId="0" applyFill="1" applyBorder="1"/>
    <xf numFmtId="1" fontId="0" fillId="10" borderId="2" xfId="0" applyNumberFormat="1" applyFill="1" applyBorder="1" applyAlignment="1">
      <alignment horizontal="center"/>
    </xf>
    <xf numFmtId="169" fontId="0" fillId="8" borderId="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2" fillId="22" borderId="2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1" xfId="0" applyFont="1" applyBorder="1" applyAlignment="1">
      <alignment vertical="center"/>
    </xf>
    <xf numFmtId="0" fontId="7" fillId="0" borderId="0" xfId="0" applyFont="1" applyBorder="1"/>
    <xf numFmtId="0" fontId="0" fillId="0" borderId="19" xfId="0" applyFill="1" applyBorder="1"/>
  </cellXfs>
  <cellStyles count="2">
    <cellStyle name="Normal" xfId="0" builtinId="0"/>
    <cellStyle name="Saída" xfId="1" builtinId="21"/>
  </cellStyles>
  <dxfs count="29"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</dxfs>
  <tableStyles count="0" defaultTableStyle="TableStyleMedium2" defaultPivotStyle="PivotStyleLight16"/>
  <colors>
    <mruColors>
      <color rgb="FF959595"/>
      <color rgb="FF4DDA46"/>
      <color rgb="FFA4D76B"/>
      <color rgb="FF33D5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Corte</a:t>
            </a:r>
            <a:r>
              <a:rPr lang="pt-BR" baseline="0"/>
              <a:t> Transversal</a:t>
            </a:r>
            <a:endParaRPr lang="pt-BR"/>
          </a:p>
        </c:rich>
      </c:tx>
      <c:layout>
        <c:manualLayout>
          <c:xMode val="edge"/>
          <c:yMode val="edge"/>
          <c:x val="0.34782106782106775"/>
          <c:y val="1.05820149906324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749031371078614E-2"/>
          <c:y val="9.1403760403555495E-2"/>
          <c:w val="0.90425696787901511"/>
          <c:h val="0.86207768638585602"/>
        </c:manualLayout>
      </c:layout>
      <c:scatterChart>
        <c:scatterStyle val="lineMarker"/>
        <c:varyColors val="0"/>
        <c:ser>
          <c:idx val="0"/>
          <c:order val="0"/>
          <c:spPr>
            <a:ln w="34925" cap="rnd" cmpd="sng">
              <a:solidFill>
                <a:schemeClr val="tx1">
                  <a:alpha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57</c:v>
                </c:pt>
                <c:pt idx="2">
                  <c:v>57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C-4368-B931-B9330EE8C7A2}"/>
            </c:ext>
          </c:extLst>
        </c:ser>
        <c:ser>
          <c:idx val="1"/>
          <c:order val="1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Dados!$B$12:$B$16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Dados!$C$12:$C$16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C-4368-B931-B9330EE8C7A2}"/>
            </c:ext>
          </c:extLst>
        </c:ser>
        <c:ser>
          <c:idx val="2"/>
          <c:order val="2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Dados!$B$17:$B$21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Dados!$C$17:$C$21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C-4368-B931-B9330EE8C7A2}"/>
            </c:ext>
          </c:extLst>
        </c:ser>
        <c:ser>
          <c:idx val="3"/>
          <c:order val="3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281C-4368-B931-B9330EE8C7A2}"/>
              </c:ext>
            </c:extLst>
          </c:dPt>
          <c:xVal>
            <c:numRef>
              <c:f>Dados!$B$22:$B$26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Dados!$C$22:$C$26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1C-4368-B931-B9330EE8C7A2}"/>
            </c:ext>
          </c:extLst>
        </c:ser>
        <c:ser>
          <c:idx val="4"/>
          <c:order val="4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Dados!$B$27:$B$31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Dados!$C$27:$C$31</c:f>
              <c:numCache>
                <c:formatCode>General</c:formatCode>
                <c:ptCount val="5"/>
                <c:pt idx="0" formatCode="0.00">
                  <c:v>50.5</c:v>
                </c:pt>
                <c:pt idx="1">
                  <c:v>50.5</c:v>
                </c:pt>
                <c:pt idx="2" formatCode="0.00">
                  <c:v>54.5</c:v>
                </c:pt>
                <c:pt idx="3" formatCode="0.00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1C-4368-B931-B9330EE8C7A2}"/>
            </c:ext>
          </c:extLst>
        </c:ser>
        <c:ser>
          <c:idx val="5"/>
          <c:order val="5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1C-4368-B931-B9330EE8C7A2}"/>
            </c:ext>
          </c:extLst>
        </c:ser>
        <c:ser>
          <c:idx val="6"/>
          <c:order val="6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1C-4368-B931-B9330EE8C7A2}"/>
            </c:ext>
          </c:extLst>
        </c:ser>
        <c:ser>
          <c:idx val="7"/>
          <c:order val="7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Dados!$B$37:$B$41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Dados!$C$37:$C$41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1C-4368-B931-B9330EE8C7A2}"/>
            </c:ext>
          </c:extLst>
        </c:ser>
        <c:ser>
          <c:idx val="8"/>
          <c:order val="8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Dados!$B$47:$B$51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Dados!$C$47:$C$51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1C-4368-B931-B9330EE8C7A2}"/>
            </c:ext>
          </c:extLst>
        </c:ser>
        <c:ser>
          <c:idx val="9"/>
          <c:order val="9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1C-4368-B931-B9330EE8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Dados!$D$4:$D$8</c:f>
              <c:numCache>
                <c:formatCode>#,##0.00</c:formatCode>
                <c:ptCount val="5"/>
                <c:pt idx="0">
                  <c:v>0</c:v>
                </c:pt>
                <c:pt idx="1">
                  <c:v>22.165878546540569</c:v>
                </c:pt>
                <c:pt idx="2">
                  <c:v>422.16587854654057</c:v>
                </c:pt>
                <c:pt idx="3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Dados!$E$4:$E$8</c:f>
              <c:numCache>
                <c:formatCode>General</c:formatCode>
                <c:ptCount val="5"/>
                <c:pt idx="0">
                  <c:v>0</c:v>
                </c:pt>
                <c:pt idx="1">
                  <c:v>57</c:v>
                </c:pt>
                <c:pt idx="2">
                  <c:v>57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4-4B7B-982D-9A6A48B312F0}"/>
            </c:ext>
          </c:extLst>
        </c:ser>
        <c:ser>
          <c:idx val="1"/>
          <c:order val="1"/>
          <c:spPr>
            <a:ln w="19050" cap="rnd">
              <a:solidFill>
                <a:srgbClr val="FF0000">
                  <a:alpha val="45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57</c:v>
                </c:pt>
                <c:pt idx="2">
                  <c:v>57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4-4B7B-982D-9A6A48B312F0}"/>
            </c:ext>
          </c:extLst>
        </c:ser>
        <c:ser>
          <c:idx val="2"/>
          <c:order val="2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Dados!$F$12:$F$16</c:f>
              <c:numCache>
                <c:formatCode>General</c:formatCode>
                <c:ptCount val="5"/>
                <c:pt idx="0">
                  <c:v>4.9721876555500248</c:v>
                </c:pt>
                <c:pt idx="1">
                  <c:v>396.97218765555004</c:v>
                </c:pt>
                <c:pt idx="2">
                  <c:v>398.52768790443008</c:v>
                </c:pt>
                <c:pt idx="3">
                  <c:v>6.5276879044300653</c:v>
                </c:pt>
                <c:pt idx="4">
                  <c:v>4.9721876555500248</c:v>
                </c:pt>
              </c:numCache>
            </c:numRef>
          </c:xVal>
          <c:yVal>
            <c:numRef>
              <c:f>Dados!$G$12:$G$16</c:f>
              <c:numCache>
                <c:formatCode>0.00</c:formatCode>
                <c:ptCount val="5"/>
                <c:pt idx="0">
                  <c:v>2.5</c:v>
                </c:pt>
                <c:pt idx="1">
                  <c:v>2.5</c:v>
                </c:pt>
                <c:pt idx="2">
                  <c:v>6.5</c:v>
                </c:pt>
                <c:pt idx="3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54-4B7B-982D-9A6A48B312F0}"/>
            </c:ext>
          </c:extLst>
        </c:ser>
        <c:ser>
          <c:idx val="3"/>
          <c:order val="3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Dados!$F$17:$F$21</c:f>
              <c:numCache>
                <c:formatCode>General</c:formatCode>
                <c:ptCount val="5"/>
                <c:pt idx="0">
                  <c:v>11.194188651070185</c:v>
                </c:pt>
                <c:pt idx="1">
                  <c:v>403.19418865107019</c:v>
                </c:pt>
                <c:pt idx="2">
                  <c:v>404.74968889995023</c:v>
                </c:pt>
                <c:pt idx="3">
                  <c:v>12.749688899950225</c:v>
                </c:pt>
                <c:pt idx="4">
                  <c:v>11.194188651070185</c:v>
                </c:pt>
              </c:numCache>
            </c:numRef>
          </c:xVal>
          <c:yVal>
            <c:numRef>
              <c:f>Dados!$G$17:$G$21</c:f>
              <c:numCache>
                <c:formatCode>0.00</c:formatCode>
                <c:ptCount val="5"/>
                <c:pt idx="0">
                  <c:v>18.5</c:v>
                </c:pt>
                <c:pt idx="1">
                  <c:v>18.5</c:v>
                </c:pt>
                <c:pt idx="2">
                  <c:v>22.5</c:v>
                </c:pt>
                <c:pt idx="3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54-4B7B-982D-9A6A48B312F0}"/>
            </c:ext>
          </c:extLst>
        </c:ser>
        <c:ser>
          <c:idx val="4"/>
          <c:order val="4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Dados!$F$22:$F$26</c:f>
              <c:numCache>
                <c:formatCode>General</c:formatCode>
                <c:ptCount val="5"/>
                <c:pt idx="0">
                  <c:v>17.416189646590347</c:v>
                </c:pt>
                <c:pt idx="1">
                  <c:v>409.41618964659034</c:v>
                </c:pt>
                <c:pt idx="2">
                  <c:v>410.97168989547038</c:v>
                </c:pt>
                <c:pt idx="3">
                  <c:v>18.971689895470384</c:v>
                </c:pt>
                <c:pt idx="4">
                  <c:v>17.416189646590347</c:v>
                </c:pt>
              </c:numCache>
            </c:numRef>
          </c:xVal>
          <c:yVal>
            <c:numRef>
              <c:f>Dados!$G$22:$G$26</c:f>
              <c:numCache>
                <c:formatCode>0.00</c:formatCode>
                <c:ptCount val="5"/>
                <c:pt idx="0">
                  <c:v>34.5</c:v>
                </c:pt>
                <c:pt idx="1">
                  <c:v>34.5</c:v>
                </c:pt>
                <c:pt idx="2">
                  <c:v>38.5</c:v>
                </c:pt>
                <c:pt idx="3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54-4B7B-982D-9A6A48B312F0}"/>
            </c:ext>
          </c:extLst>
        </c:ser>
        <c:ser>
          <c:idx val="5"/>
          <c:order val="5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Dados!$F$27:$F$31</c:f>
              <c:numCache>
                <c:formatCode>General</c:formatCode>
                <c:ptCount val="5"/>
                <c:pt idx="0">
                  <c:v>23.638190642110501</c:v>
                </c:pt>
                <c:pt idx="1">
                  <c:v>415.63819064211049</c:v>
                </c:pt>
                <c:pt idx="2">
                  <c:v>417.19369089099052</c:v>
                </c:pt>
                <c:pt idx="3">
                  <c:v>25.193690890990542</c:v>
                </c:pt>
                <c:pt idx="4">
                  <c:v>23.638190642110501</c:v>
                </c:pt>
              </c:numCache>
            </c:numRef>
          </c:xVal>
          <c:yVal>
            <c:numRef>
              <c:f>Dados!$G$27:$G$31</c:f>
              <c:numCache>
                <c:formatCode>0.00</c:formatCode>
                <c:ptCount val="5"/>
                <c:pt idx="0">
                  <c:v>50.5</c:v>
                </c:pt>
                <c:pt idx="1">
                  <c:v>50.5</c:v>
                </c:pt>
                <c:pt idx="2">
                  <c:v>54.5</c:v>
                </c:pt>
                <c:pt idx="3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54-4B7B-982D-9A6A48B312F0}"/>
            </c:ext>
          </c:extLst>
        </c:ser>
        <c:ser>
          <c:idx val="6"/>
          <c:order val="6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Dados!$F$32:$F$36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Dados!$G$32:$G$36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54-4B7B-982D-9A6A48B312F0}"/>
            </c:ext>
          </c:extLst>
        </c:ser>
        <c:ser>
          <c:idx val="7"/>
          <c:order val="7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Dados!$F$37:$F$41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Dados!$G$37:$G$41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54-4B7B-982D-9A6A48B312F0}"/>
            </c:ext>
          </c:extLst>
        </c:ser>
        <c:ser>
          <c:idx val="8"/>
          <c:order val="8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Dados!$F$42:$F$46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Dados!$G$42:$G$46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54-4B7B-982D-9A6A48B312F0}"/>
            </c:ext>
          </c:extLst>
        </c:ser>
        <c:ser>
          <c:idx val="9"/>
          <c:order val="9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Dados!$F$47:$F$51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Dados!$G$47:$G$51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54-4B7B-982D-9A6A48B31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20720"/>
        <c:axId val="804126000"/>
      </c:scatterChart>
      <c:valAx>
        <c:axId val="804120720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extTo"/>
        <c:crossAx val="804126000"/>
        <c:crosses val="autoZero"/>
        <c:crossBetween val="midCat"/>
      </c:valAx>
      <c:valAx>
        <c:axId val="804126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0412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Corte Transversal</a:t>
            </a:r>
          </a:p>
        </c:rich>
      </c:tx>
      <c:layout>
        <c:manualLayout>
          <c:xMode val="edge"/>
          <c:yMode val="edge"/>
          <c:x val="0.3553462635352399"/>
          <c:y val="1.58730224859486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9091022713069957E-2"/>
          <c:y val="8.0880681281746261E-2"/>
          <c:w val="0.93888888888888888"/>
          <c:h val="0.9017308938865994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Dados!$R$4:$R$8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Dados!$S$4:$S$8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89</c:v>
                </c:pt>
                <c:pt idx="2">
                  <c:v>89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92-4FD6-9B93-53236740F681}"/>
            </c:ext>
          </c:extLst>
        </c:ser>
        <c:ser>
          <c:idx val="1"/>
          <c:order val="1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Dados!$R$12:$R$16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Dados!$S$12:$S$16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92-4FD6-9B93-53236740F681}"/>
            </c:ext>
          </c:extLst>
        </c:ser>
        <c:ser>
          <c:idx val="2"/>
          <c:order val="2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Dados!$R$17:$R$21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Dados!$S$17:$S$21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92-4FD6-9B93-53236740F681}"/>
            </c:ext>
          </c:extLst>
        </c:ser>
        <c:ser>
          <c:idx val="3"/>
          <c:order val="3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Dados!$R$22:$R$26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Dados!$S$22:$S$26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92-4FD6-9B93-53236740F681}"/>
            </c:ext>
          </c:extLst>
        </c:ser>
        <c:ser>
          <c:idx val="4"/>
          <c:order val="4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Dados!$R$27:$R$31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Dados!$S$27:$S$31</c:f>
              <c:numCache>
                <c:formatCode>General</c:formatCode>
                <c:ptCount val="5"/>
                <c:pt idx="0" formatCode="0.00">
                  <c:v>50.5</c:v>
                </c:pt>
                <c:pt idx="1">
                  <c:v>50.5</c:v>
                </c:pt>
                <c:pt idx="2" formatCode="0.00">
                  <c:v>54.5</c:v>
                </c:pt>
                <c:pt idx="3" formatCode="0.00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92-4FD6-9B93-53236740F681}"/>
            </c:ext>
          </c:extLst>
        </c:ser>
        <c:ser>
          <c:idx val="5"/>
          <c:order val="5"/>
          <c:spPr>
            <a:ln w="19050" cap="rnd">
              <a:solidFill>
                <a:schemeClr val="accent3">
                  <a:shade val="93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Dados!$R$32:$R$36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Dados!$S$32:$S$36</c:f>
              <c:numCache>
                <c:formatCode>General</c:formatCode>
                <c:ptCount val="5"/>
                <c:pt idx="0" formatCode="0.00">
                  <c:v>66.5</c:v>
                </c:pt>
                <c:pt idx="1">
                  <c:v>66.5</c:v>
                </c:pt>
                <c:pt idx="2" formatCode="0.00">
                  <c:v>70.5</c:v>
                </c:pt>
                <c:pt idx="3" formatCode="0.00">
                  <c:v>70.5</c:v>
                </c:pt>
                <c:pt idx="4">
                  <c:v>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92-4FD6-9B93-53236740F681}"/>
            </c:ext>
          </c:extLst>
        </c:ser>
        <c:ser>
          <c:idx val="6"/>
          <c:order val="6"/>
          <c:spPr>
            <a:ln w="19050" cap="rnd">
              <a:solidFill>
                <a:schemeClr val="accent3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Dados!$R$32:$R$36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Dados!$S$32:$S$36</c:f>
              <c:numCache>
                <c:formatCode>General</c:formatCode>
                <c:ptCount val="5"/>
                <c:pt idx="0" formatCode="0.00">
                  <c:v>66.5</c:v>
                </c:pt>
                <c:pt idx="1">
                  <c:v>66.5</c:v>
                </c:pt>
                <c:pt idx="2" formatCode="0.00">
                  <c:v>70.5</c:v>
                </c:pt>
                <c:pt idx="3" formatCode="0.00">
                  <c:v>70.5</c:v>
                </c:pt>
                <c:pt idx="4">
                  <c:v>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92-4FD6-9B93-53236740F681}"/>
            </c:ext>
          </c:extLst>
        </c:ser>
        <c:ser>
          <c:idx val="7"/>
          <c:order val="7"/>
          <c:spPr>
            <a:ln w="19050" cap="rnd">
              <a:solidFill>
                <a:schemeClr val="accent3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Dados!$R$37:$R$41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Dados!$S$37:$S$41</c:f>
              <c:numCache>
                <c:formatCode>General</c:formatCode>
                <c:ptCount val="5"/>
                <c:pt idx="0" formatCode="0.00">
                  <c:v>82.5</c:v>
                </c:pt>
                <c:pt idx="1">
                  <c:v>82.5</c:v>
                </c:pt>
                <c:pt idx="2" formatCode="0.00">
                  <c:v>86.5</c:v>
                </c:pt>
                <c:pt idx="3" formatCode="0.00">
                  <c:v>86.5</c:v>
                </c:pt>
                <c:pt idx="4">
                  <c:v>82.5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92-4FD6-9B93-53236740F68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Dados!$R$47:$R$51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Dados!$S$47:$S$51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92-4FD6-9B93-53236740F681}"/>
            </c:ext>
          </c:extLst>
        </c:ser>
        <c:ser>
          <c:idx val="9"/>
          <c:order val="9"/>
          <c:spPr>
            <a:ln w="19050" cap="rnd">
              <a:solidFill>
                <a:schemeClr val="accent3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492-4FD6-9B93-53236740F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8888888888889E-2"/>
          <c:y val="4.9134553056700288E-2"/>
          <c:w val="0.93888888888888888"/>
          <c:h val="0.9017308938865994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57</c:v>
                </c:pt>
                <c:pt idx="2">
                  <c:v>57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5-4224-91EF-ECB6DC3C9EA2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Dados!$B$12:$B$16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Dados!$C$12:$C$16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D5-4224-91EF-ECB6DC3C9EA2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Dados!$B$17:$B$21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Dados!$C$17:$C$21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D5-4224-91EF-ECB6DC3C9EA2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98D5-4224-91EF-ECB6DC3C9EA2}"/>
              </c:ext>
            </c:extLst>
          </c:dPt>
          <c:xVal>
            <c:numRef>
              <c:f>Dados!$B$22:$B$26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Dados!$C$22:$C$26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D5-4224-91EF-ECB6DC3C9EA2}"/>
            </c:ext>
          </c:extLst>
        </c:ser>
        <c:ser>
          <c:idx val="4"/>
          <c:order val="4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Dados!$B$27:$B$31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Dados!$C$27:$C$31</c:f>
              <c:numCache>
                <c:formatCode>General</c:formatCode>
                <c:ptCount val="5"/>
                <c:pt idx="0" formatCode="0.00">
                  <c:v>50.5</c:v>
                </c:pt>
                <c:pt idx="1">
                  <c:v>50.5</c:v>
                </c:pt>
                <c:pt idx="2" formatCode="0.00">
                  <c:v>54.5</c:v>
                </c:pt>
                <c:pt idx="3" formatCode="0.00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D5-4224-91EF-ECB6DC3C9EA2}"/>
            </c:ext>
          </c:extLst>
        </c:ser>
        <c:ser>
          <c:idx val="5"/>
          <c:order val="5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8D5-4224-91EF-ECB6DC3C9EA2}"/>
            </c:ext>
          </c:extLst>
        </c:ser>
        <c:ser>
          <c:idx val="6"/>
          <c:order val="6"/>
          <c:spPr>
            <a:ln w="19050" cap="rnd">
              <a:solidFill>
                <a:schemeClr val="accent3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8D5-4224-91EF-ECB6DC3C9EA2}"/>
            </c:ext>
          </c:extLst>
        </c:ser>
        <c:ser>
          <c:idx val="7"/>
          <c:order val="7"/>
          <c:spPr>
            <a:ln w="19050" cap="rnd">
              <a:solidFill>
                <a:schemeClr val="accent3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Dados!$B$37:$B$41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Dados!$C$37:$C$41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8D5-4224-91EF-ECB6DC3C9EA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Dados!$B$47:$B$51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Dados!$C$47:$C$51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8D5-4224-91EF-ECB6DC3C9EA2}"/>
            </c:ext>
          </c:extLst>
        </c:ser>
        <c:ser>
          <c:idx val="9"/>
          <c:order val="9"/>
          <c:spPr>
            <a:ln w="19050" cap="rnd">
              <a:solidFill>
                <a:schemeClr val="accent3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8D5-4224-91EF-ECB6DC3C9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Dados!$D$4:$D$8</c:f>
              <c:numCache>
                <c:formatCode>#,##0.00</c:formatCode>
                <c:ptCount val="5"/>
                <c:pt idx="0">
                  <c:v>0</c:v>
                </c:pt>
                <c:pt idx="1">
                  <c:v>22.165878546540569</c:v>
                </c:pt>
                <c:pt idx="2">
                  <c:v>422.16587854654057</c:v>
                </c:pt>
                <c:pt idx="3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Dados!$E$4:$E$8</c:f>
              <c:numCache>
                <c:formatCode>General</c:formatCode>
                <c:ptCount val="5"/>
                <c:pt idx="0">
                  <c:v>0</c:v>
                </c:pt>
                <c:pt idx="1">
                  <c:v>57</c:v>
                </c:pt>
                <c:pt idx="2">
                  <c:v>57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C-46C6-A88B-6E93CF68C6EE}"/>
            </c:ext>
          </c:extLst>
        </c:ser>
        <c:ser>
          <c:idx val="1"/>
          <c:order val="1"/>
          <c:spPr>
            <a:ln w="19050" cap="rnd">
              <a:solidFill>
                <a:srgbClr val="FF0000">
                  <a:alpha val="45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57</c:v>
                </c:pt>
                <c:pt idx="2">
                  <c:v>57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C-46C6-A88B-6E93CF68C6EE}"/>
            </c:ext>
          </c:extLst>
        </c:ser>
        <c:ser>
          <c:idx val="2"/>
          <c:order val="2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Dados!$F$12:$F$16</c:f>
              <c:numCache>
                <c:formatCode>General</c:formatCode>
                <c:ptCount val="5"/>
                <c:pt idx="0">
                  <c:v>4.9721876555500248</c:v>
                </c:pt>
                <c:pt idx="1">
                  <c:v>396.97218765555004</c:v>
                </c:pt>
                <c:pt idx="2">
                  <c:v>398.52768790443008</c:v>
                </c:pt>
                <c:pt idx="3">
                  <c:v>6.5276879044300653</c:v>
                </c:pt>
                <c:pt idx="4">
                  <c:v>4.9721876555500248</c:v>
                </c:pt>
              </c:numCache>
            </c:numRef>
          </c:xVal>
          <c:yVal>
            <c:numRef>
              <c:f>Dados!$G$12:$G$16</c:f>
              <c:numCache>
                <c:formatCode>0.00</c:formatCode>
                <c:ptCount val="5"/>
                <c:pt idx="0">
                  <c:v>2.5</c:v>
                </c:pt>
                <c:pt idx="1">
                  <c:v>2.5</c:v>
                </c:pt>
                <c:pt idx="2">
                  <c:v>6.5</c:v>
                </c:pt>
                <c:pt idx="3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C-46C6-A88B-6E93CF68C6EE}"/>
            </c:ext>
          </c:extLst>
        </c:ser>
        <c:ser>
          <c:idx val="3"/>
          <c:order val="3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Dados!$F$17:$F$21</c:f>
              <c:numCache>
                <c:formatCode>General</c:formatCode>
                <c:ptCount val="5"/>
                <c:pt idx="0">
                  <c:v>11.194188651070185</c:v>
                </c:pt>
                <c:pt idx="1">
                  <c:v>403.19418865107019</c:v>
                </c:pt>
                <c:pt idx="2">
                  <c:v>404.74968889995023</c:v>
                </c:pt>
                <c:pt idx="3">
                  <c:v>12.749688899950225</c:v>
                </c:pt>
                <c:pt idx="4">
                  <c:v>11.194188651070185</c:v>
                </c:pt>
              </c:numCache>
            </c:numRef>
          </c:xVal>
          <c:yVal>
            <c:numRef>
              <c:f>Dados!$G$17:$G$21</c:f>
              <c:numCache>
                <c:formatCode>0.00</c:formatCode>
                <c:ptCount val="5"/>
                <c:pt idx="0">
                  <c:v>18.5</c:v>
                </c:pt>
                <c:pt idx="1">
                  <c:v>18.5</c:v>
                </c:pt>
                <c:pt idx="2">
                  <c:v>22.5</c:v>
                </c:pt>
                <c:pt idx="3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C-46C6-A88B-6E93CF68C6EE}"/>
            </c:ext>
          </c:extLst>
        </c:ser>
        <c:ser>
          <c:idx val="4"/>
          <c:order val="4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Dados!$F$22:$F$26</c:f>
              <c:numCache>
                <c:formatCode>General</c:formatCode>
                <c:ptCount val="5"/>
                <c:pt idx="0">
                  <c:v>17.416189646590347</c:v>
                </c:pt>
                <c:pt idx="1">
                  <c:v>409.41618964659034</c:v>
                </c:pt>
                <c:pt idx="2">
                  <c:v>410.97168989547038</c:v>
                </c:pt>
                <c:pt idx="3">
                  <c:v>18.971689895470384</c:v>
                </c:pt>
                <c:pt idx="4">
                  <c:v>17.416189646590347</c:v>
                </c:pt>
              </c:numCache>
            </c:numRef>
          </c:xVal>
          <c:yVal>
            <c:numRef>
              <c:f>Dados!$G$22:$G$26</c:f>
              <c:numCache>
                <c:formatCode>0.00</c:formatCode>
                <c:ptCount val="5"/>
                <c:pt idx="0">
                  <c:v>34.5</c:v>
                </c:pt>
                <c:pt idx="1">
                  <c:v>34.5</c:v>
                </c:pt>
                <c:pt idx="2">
                  <c:v>38.5</c:v>
                </c:pt>
                <c:pt idx="3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C-46C6-A88B-6E93CF68C6EE}"/>
            </c:ext>
          </c:extLst>
        </c:ser>
        <c:ser>
          <c:idx val="5"/>
          <c:order val="5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Dados!$F$27:$F$31</c:f>
              <c:numCache>
                <c:formatCode>General</c:formatCode>
                <c:ptCount val="5"/>
                <c:pt idx="0">
                  <c:v>23.638190642110501</c:v>
                </c:pt>
                <c:pt idx="1">
                  <c:v>415.63819064211049</c:v>
                </c:pt>
                <c:pt idx="2">
                  <c:v>417.19369089099052</c:v>
                </c:pt>
                <c:pt idx="3">
                  <c:v>25.193690890990542</c:v>
                </c:pt>
                <c:pt idx="4">
                  <c:v>23.638190642110501</c:v>
                </c:pt>
              </c:numCache>
            </c:numRef>
          </c:xVal>
          <c:yVal>
            <c:numRef>
              <c:f>Dados!$G$27:$G$31</c:f>
              <c:numCache>
                <c:formatCode>0.00</c:formatCode>
                <c:ptCount val="5"/>
                <c:pt idx="0">
                  <c:v>50.5</c:v>
                </c:pt>
                <c:pt idx="1">
                  <c:v>50.5</c:v>
                </c:pt>
                <c:pt idx="2">
                  <c:v>54.5</c:v>
                </c:pt>
                <c:pt idx="3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C-46C6-A88B-6E93CF68C6EE}"/>
            </c:ext>
          </c:extLst>
        </c:ser>
        <c:ser>
          <c:idx val="6"/>
          <c:order val="6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Dados!$F$32:$F$36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Dados!$G$32:$G$36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C-46C6-A88B-6E93CF68C6E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Dados!$F$37:$F$41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Dados!$G$37:$G$41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C-46C6-A88B-6E93CF68C6E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Dados!$F$42:$F$46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Dados!$G$42:$G$46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C-46C6-A88B-6E93CF68C6E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Dados!$F$47:$F$51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Dados!$G$47:$G$51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C-46C6-A88B-6E93CF68C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20720"/>
        <c:axId val="804126000"/>
      </c:scatterChart>
      <c:valAx>
        <c:axId val="804120720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804126000"/>
        <c:crosses val="autoZero"/>
        <c:crossBetween val="midCat"/>
      </c:valAx>
      <c:valAx>
        <c:axId val="804126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412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8888888888889E-2"/>
          <c:y val="4.9134553056700288E-2"/>
          <c:w val="0.93888888888888888"/>
          <c:h val="0.9017308938865994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Dados!$R$4:$R$8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Dados!$S$4:$S$8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89</c:v>
                </c:pt>
                <c:pt idx="2">
                  <c:v>89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3-494C-90A7-BDA00A83848A}"/>
            </c:ext>
          </c:extLst>
        </c:ser>
        <c:ser>
          <c:idx val="1"/>
          <c:order val="1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Dados!$R$12:$R$16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Dados!$S$12:$S$16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3-494C-90A7-BDA00A83848A}"/>
            </c:ext>
          </c:extLst>
        </c:ser>
        <c:ser>
          <c:idx val="2"/>
          <c:order val="2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Dados!$R$17:$R$21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Dados!$S$17:$S$21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43-494C-90A7-BDA00A83848A}"/>
            </c:ext>
          </c:extLst>
        </c:ser>
        <c:ser>
          <c:idx val="3"/>
          <c:order val="3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Dados!$R$22:$R$26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Dados!$S$22:$S$26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43-494C-90A7-BDA00A83848A}"/>
            </c:ext>
          </c:extLst>
        </c:ser>
        <c:ser>
          <c:idx val="4"/>
          <c:order val="4"/>
          <c:spPr>
            <a:ln w="19050" cap="rnd">
              <a:solidFill>
                <a:srgbClr val="959595"/>
              </a:solidFill>
              <a:round/>
            </a:ln>
            <a:effectLst/>
          </c:spPr>
          <c:marker>
            <c:symbol val="none"/>
          </c:marker>
          <c:xVal>
            <c:numRef>
              <c:f>Dados!$R$27:$R$31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Dados!$S$27:$S$31</c:f>
              <c:numCache>
                <c:formatCode>General</c:formatCode>
                <c:ptCount val="5"/>
                <c:pt idx="0" formatCode="0.00">
                  <c:v>50.5</c:v>
                </c:pt>
                <c:pt idx="1">
                  <c:v>50.5</c:v>
                </c:pt>
                <c:pt idx="2" formatCode="0.00">
                  <c:v>54.5</c:v>
                </c:pt>
                <c:pt idx="3" formatCode="0.00">
                  <c:v>54.5</c:v>
                </c:pt>
                <c:pt idx="4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43-494C-90A7-BDA00A83848A}"/>
            </c:ext>
          </c:extLst>
        </c:ser>
        <c:ser>
          <c:idx val="5"/>
          <c:order val="5"/>
          <c:spPr>
            <a:ln w="19050" cap="rnd">
              <a:solidFill>
                <a:schemeClr val="accent3">
                  <a:shade val="93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Dados!$R$32:$R$36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Dados!$S$32:$S$36</c:f>
              <c:numCache>
                <c:formatCode>General</c:formatCode>
                <c:ptCount val="5"/>
                <c:pt idx="0" formatCode="0.00">
                  <c:v>66.5</c:v>
                </c:pt>
                <c:pt idx="1">
                  <c:v>66.5</c:v>
                </c:pt>
                <c:pt idx="2" formatCode="0.00">
                  <c:v>70.5</c:v>
                </c:pt>
                <c:pt idx="3" formatCode="0.00">
                  <c:v>70.5</c:v>
                </c:pt>
                <c:pt idx="4">
                  <c:v>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43-494C-90A7-BDA00A83848A}"/>
            </c:ext>
          </c:extLst>
        </c:ser>
        <c:ser>
          <c:idx val="6"/>
          <c:order val="6"/>
          <c:spPr>
            <a:ln w="19050" cap="rnd">
              <a:solidFill>
                <a:schemeClr val="accent3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Dados!$R$32:$R$36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Dados!$S$32:$S$36</c:f>
              <c:numCache>
                <c:formatCode>General</c:formatCode>
                <c:ptCount val="5"/>
                <c:pt idx="0" formatCode="0.00">
                  <c:v>66.5</c:v>
                </c:pt>
                <c:pt idx="1">
                  <c:v>66.5</c:v>
                </c:pt>
                <c:pt idx="2" formatCode="0.00">
                  <c:v>70.5</c:v>
                </c:pt>
                <c:pt idx="3" formatCode="0.00">
                  <c:v>70.5</c:v>
                </c:pt>
                <c:pt idx="4">
                  <c:v>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843-494C-90A7-BDA00A83848A}"/>
            </c:ext>
          </c:extLst>
        </c:ser>
        <c:ser>
          <c:idx val="7"/>
          <c:order val="7"/>
          <c:spPr>
            <a:ln w="19050" cap="rnd">
              <a:solidFill>
                <a:schemeClr val="accent3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Dados!$R$37:$R$41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Dados!$S$37:$S$41</c:f>
              <c:numCache>
                <c:formatCode>General</c:formatCode>
                <c:ptCount val="5"/>
                <c:pt idx="0" formatCode="0.00">
                  <c:v>82.5</c:v>
                </c:pt>
                <c:pt idx="1">
                  <c:v>82.5</c:v>
                </c:pt>
                <c:pt idx="2" formatCode="0.00">
                  <c:v>86.5</c:v>
                </c:pt>
                <c:pt idx="3" formatCode="0.00">
                  <c:v>86.5</c:v>
                </c:pt>
                <c:pt idx="4">
                  <c:v>82.5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843-494C-90A7-BDA00A83848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Dados!$R$47:$R$51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Dados!$S$47:$S$51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843-494C-90A7-BDA00A83848A}"/>
            </c:ext>
          </c:extLst>
        </c:ser>
        <c:ser>
          <c:idx val="9"/>
          <c:order val="9"/>
          <c:spPr>
            <a:ln w="19050" cap="rnd">
              <a:solidFill>
                <a:schemeClr val="accent3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843-494C-90A7-BDA00A838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276225</xdr:colOff>
      <xdr:row>66</xdr:row>
      <xdr:rowOff>33337</xdr:rowOff>
    </xdr:from>
    <xdr:ext cx="986680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F85E1E4-A42C-9A48-A064-9DF457A50CAC}"/>
                </a:ext>
              </a:extLst>
            </xdr:cNvPr>
            <xdr:cNvSpPr txBox="1"/>
          </xdr:nvSpPr>
          <xdr:spPr>
            <a:xfrm>
              <a:off x="7029450" y="9005887"/>
              <a:ext cx="98668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𝑎𝑏</m:t>
                        </m:r>
                      </m:den>
                    </m:f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F85E1E4-A42C-9A48-A064-9DF457A50CAC}"/>
                </a:ext>
              </a:extLst>
            </xdr:cNvPr>
            <xdr:cNvSpPr txBox="1"/>
          </xdr:nvSpPr>
          <xdr:spPr>
            <a:xfrm>
              <a:off x="7029450" y="9005887"/>
              <a:ext cx="98668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1100" b="0" i="0" kern="1200">
                  <a:latin typeface="Cambria Math" panose="02040503050406030204" pitchFamily="18" charset="0"/>
                </a:rPr>
                <a:t>𝑘=  𝑁_𝑘/𝑎𝑏≤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𝑙𝑖𝑚</a:t>
              </a:r>
              <a:endParaRPr lang="pt-BR" sz="1100" kern="1200"/>
            </a:p>
          </xdr:txBody>
        </xdr:sp>
      </mc:Fallback>
    </mc:AlternateContent>
    <xdr:clientData/>
  </xdr:oneCellAnchor>
  <xdr:twoCellAnchor>
    <xdr:from>
      <xdr:col>13</xdr:col>
      <xdr:colOff>723899</xdr:colOff>
      <xdr:row>27</xdr:row>
      <xdr:rowOff>0</xdr:rowOff>
    </xdr:from>
    <xdr:to>
      <xdr:col>15</xdr:col>
      <xdr:colOff>600075</xdr:colOff>
      <xdr:row>29</xdr:row>
      <xdr:rowOff>0</xdr:rowOff>
    </xdr:to>
    <xdr:sp macro="[0]!Export_Table_Wor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019C1AA-4F70-5346-30A6-062788D5F513}"/>
            </a:ext>
          </a:extLst>
        </xdr:cNvPr>
        <xdr:cNvSpPr/>
      </xdr:nvSpPr>
      <xdr:spPr>
        <a:xfrm>
          <a:off x="11096624" y="5000625"/>
          <a:ext cx="1209676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Exportar</a:t>
          </a:r>
        </a:p>
      </xdr:txBody>
    </xdr:sp>
    <xdr:clientData/>
  </xdr:twoCellAnchor>
  <xdr:oneCellAnchor>
    <xdr:from>
      <xdr:col>8</xdr:col>
      <xdr:colOff>171450</xdr:colOff>
      <xdr:row>72</xdr:row>
      <xdr:rowOff>176212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23FACF5-FA95-D08E-AF4F-74D2D7B7FCFC}"/>
                </a:ext>
              </a:extLst>
            </xdr:cNvPr>
            <xdr:cNvSpPr txBox="1"/>
          </xdr:nvSpPr>
          <xdr:spPr>
            <a:xfrm>
              <a:off x="6172200" y="8996362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𝜇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=0,1+0,6</m:t>
                    </m:r>
                    <m:r>
                      <m:rPr>
                        <m:lit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sSubSup>
                      <m:sSubSup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𝑚𝑘</m:t>
                        </m:r>
                      </m:sub>
                      <m: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bSup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23FACF5-FA95-D08E-AF4F-74D2D7B7FCFC}"/>
                </a:ext>
              </a:extLst>
            </xdr:cNvPr>
            <xdr:cNvSpPr txBox="1"/>
          </xdr:nvSpPr>
          <xdr:spPr>
            <a:xfrm>
              <a:off x="6172200" y="8996362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 kern="1200">
                  <a:latin typeface="Cambria Math" panose="02040503050406030204" pitchFamily="18" charset="0"/>
                </a:rPr>
                <a:t>𝜇=0,1+0,6\/𝜎_𝑚𝑘^′</a:t>
              </a:r>
              <a:endParaRPr lang="pt-BR" sz="1100" kern="1200"/>
            </a:p>
          </xdr:txBody>
        </xdr:sp>
      </mc:Fallback>
    </mc:AlternateContent>
    <xdr:clientData/>
  </xdr:oneCellAnchor>
  <xdr:oneCellAnchor>
    <xdr:from>
      <xdr:col>8</xdr:col>
      <xdr:colOff>133350</xdr:colOff>
      <xdr:row>75</xdr:row>
      <xdr:rowOff>57150</xdr:rowOff>
    </xdr:from>
    <xdr:ext cx="2276475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F8E043E-2508-433D-B4E1-53F29FF33DC1}"/>
                </a:ext>
              </a:extLst>
            </xdr:cNvPr>
            <xdr:cNvSpPr txBox="1"/>
          </xdr:nvSpPr>
          <xdr:spPr>
            <a:xfrm>
              <a:off x="6134100" y="10210800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𝑔𝑘</m:t>
                        </m:r>
                      </m:sub>
                    </m:sSub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F8E043E-2508-433D-B4E1-53F29FF33DC1}"/>
                </a:ext>
              </a:extLst>
            </xdr:cNvPr>
            <xdr:cNvSpPr txBox="1"/>
          </xdr:nvSpPr>
          <xdr:spPr>
            <a:xfrm>
              <a:off x="6134100" y="10210800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𝐻_𝑝=𝜇𝑁_𝑔𝑘</a:t>
              </a:r>
              <a:endParaRPr lang="pt-BR" sz="1100" kern="1200"/>
            </a:p>
          </xdr:txBody>
        </xdr:sp>
      </mc:Fallback>
    </mc:AlternateContent>
    <xdr:clientData/>
  </xdr:oneCellAnchor>
  <xdr:oneCellAnchor>
    <xdr:from>
      <xdr:col>2</xdr:col>
      <xdr:colOff>180975</xdr:colOff>
      <xdr:row>86</xdr:row>
      <xdr:rowOff>9525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9FE47F5-DBCC-4EB8-8260-589C5E05E183}"/>
                </a:ext>
              </a:extLst>
            </xdr:cNvPr>
            <xdr:cNvSpPr txBox="1"/>
          </xdr:nvSpPr>
          <xdr:spPr>
            <a:xfrm>
              <a:off x="1400175" y="1244917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ϵ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q</m:t>
                        </m:r>
                      </m:sub>
                    </m:sSub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9FE47F5-DBCC-4EB8-8260-589C5E05E183}"/>
                </a:ext>
              </a:extLst>
            </xdr:cNvPr>
            <xdr:cNvSpPr txBox="1"/>
          </xdr:nvSpPr>
          <xdr:spPr>
            <a:xfrm>
              <a:off x="1400175" y="1244917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𝜖_𝑘+ϵ_q≤𝜖_𝑙𝑖𝑚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190500</xdr:colOff>
      <xdr:row>83</xdr:row>
      <xdr:rowOff>0</xdr:rowOff>
    </xdr:from>
    <xdr:ext cx="2276475" cy="34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8AA47D0-741B-4EAA-B682-43E411AB6497}"/>
                </a:ext>
              </a:extLst>
            </xdr:cNvPr>
            <xdr:cNvSpPr txBox="1"/>
          </xdr:nvSpPr>
          <xdr:spPr>
            <a:xfrm>
              <a:off x="6334125" y="14077950"/>
              <a:ext cx="2276475" cy="345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𝐺𝑎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e>
                        </m:d>
                      </m:den>
                    </m:f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8AA47D0-741B-4EAA-B682-43E411AB6497}"/>
                </a:ext>
              </a:extLst>
            </xdr:cNvPr>
            <xdr:cNvSpPr txBox="1"/>
          </xdr:nvSpPr>
          <xdr:spPr>
            <a:xfrm>
              <a:off x="6334125" y="14077950"/>
              <a:ext cx="2276475" cy="345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𝜖_𝑔=𝐻_𝑔/((𝐺𝑎′𝑏′) )</a:t>
              </a:r>
              <a:r>
                <a:rPr lang="pt-BR" sz="11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 Σℎ_𝑖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9</xdr:col>
      <xdr:colOff>247650</xdr:colOff>
      <xdr:row>84</xdr:row>
      <xdr:rowOff>161925</xdr:rowOff>
    </xdr:from>
    <xdr:ext cx="2276475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BB138BD-4FFE-4F3B-BB19-54AF864294AE}"/>
                </a:ext>
              </a:extLst>
            </xdr:cNvPr>
            <xdr:cNvSpPr txBox="1"/>
          </xdr:nvSpPr>
          <xdr:spPr>
            <a:xfrm>
              <a:off x="7000875" y="14468475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𝜖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𝑞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𝑞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/</m:t>
                  </m:r>
                  <m:d>
                    <m:d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2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𝐺𝑎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′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′</m:t>
                      </m:r>
                    </m:e>
                  </m:d>
                  <m:r>
                    <m:rPr>
                      <m:sty m:val="p"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Σ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pt-BR" sz="1100" b="0" kern="1200"/>
                <a:t> </a:t>
              </a: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BB138BD-4FFE-4F3B-BB19-54AF864294AE}"/>
                </a:ext>
              </a:extLst>
            </xdr:cNvPr>
            <xdr:cNvSpPr txBox="1"/>
          </xdr:nvSpPr>
          <xdr:spPr>
            <a:xfrm>
              <a:off x="7000875" y="14468475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𝜖_𝑞=𝐻_𝑞/(2𝐺𝑎′𝑏′)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Σℎ_𝑖</a:t>
              </a:r>
              <a:r>
                <a:rPr lang="pt-BR" sz="1100" b="0" kern="1200"/>
                <a:t> </a:t>
              </a:r>
            </a:p>
          </xdr:txBody>
        </xdr:sp>
      </mc:Fallback>
    </mc:AlternateContent>
    <xdr:clientData/>
  </xdr:oneCellAnchor>
  <xdr:oneCellAnchor>
    <xdr:from>
      <xdr:col>8</xdr:col>
      <xdr:colOff>38100</xdr:colOff>
      <xdr:row>82</xdr:row>
      <xdr:rowOff>19050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63A1E05-9F8C-4D9F-ABA9-292F5AB71792}"/>
                </a:ext>
              </a:extLst>
            </xdr:cNvPr>
            <xdr:cNvSpPr txBox="1"/>
          </xdr:nvSpPr>
          <xdr:spPr>
            <a:xfrm>
              <a:off x="6181725" y="1120140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63A1E05-9F8C-4D9F-ABA9-292F5AB71792}"/>
                </a:ext>
              </a:extLst>
            </xdr:cNvPr>
            <xdr:cNvSpPr txBox="1"/>
          </xdr:nvSpPr>
          <xdr:spPr>
            <a:xfrm>
              <a:off x="6181725" y="1120140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 kern="1200">
                  <a:latin typeface="Cambria Math" panose="02040503050406030204" pitchFamily="18" charset="0"/>
                </a:rPr>
                <a:t>𝜖_𝑙𝑖𝑚=0,5ℎ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85725</xdr:colOff>
      <xdr:row>85</xdr:row>
      <xdr:rowOff>142875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BD870DC-7ED0-453F-8B6C-27F0B8C8130A}"/>
                </a:ext>
              </a:extLst>
            </xdr:cNvPr>
            <xdr:cNvSpPr txBox="1"/>
          </xdr:nvSpPr>
          <xdr:spPr>
            <a:xfrm>
              <a:off x="6229350" y="1467802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𝜖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 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ϵ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q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BD870DC-7ED0-453F-8B6C-27F0B8C8130A}"/>
                </a:ext>
              </a:extLst>
            </xdr:cNvPr>
            <xdr:cNvSpPr txBox="1"/>
          </xdr:nvSpPr>
          <xdr:spPr>
            <a:xfrm>
              <a:off x="6229350" y="1467802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𝜖〖=𝜖〗_𝑘+ ϵ_q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200025</xdr:colOff>
      <xdr:row>91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EF64D8DD-3EC3-47DA-87CF-1E03FFCA04DA}"/>
                </a:ext>
              </a:extLst>
            </xdr:cNvPr>
            <xdr:cNvSpPr txBox="1"/>
          </xdr:nvSpPr>
          <xdr:spPr>
            <a:xfrm>
              <a:off x="6343650" y="138969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Δ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=0,15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EF64D8DD-3EC3-47DA-87CF-1E03FFCA04DA}"/>
                </a:ext>
              </a:extLst>
            </xdr:cNvPr>
            <xdr:cNvSpPr txBox="1"/>
          </xdr:nvSpPr>
          <xdr:spPr>
            <a:xfrm>
              <a:off x="6343650" y="138969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Δℎ_𝑙𝑖𝑚=0,15ℎ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338979</xdr:colOff>
      <xdr:row>92</xdr:row>
      <xdr:rowOff>161925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9DBB57DD-2D57-437F-AB95-591C1A5D0901}"/>
                </a:ext>
              </a:extLst>
            </xdr:cNvPr>
            <xdr:cNvSpPr txBox="1"/>
          </xdr:nvSpPr>
          <xdr:spPr>
            <a:xfrm>
              <a:off x="6468597" y="1846113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9DBB57DD-2D57-437F-AB95-591C1A5D0901}"/>
                </a:ext>
              </a:extLst>
            </xdr:cNvPr>
            <xdr:cNvSpPr txBox="1"/>
          </xdr:nvSpPr>
          <xdr:spPr>
            <a:xfrm>
              <a:off x="6468597" y="1846113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333375</xdr:colOff>
      <xdr:row>94</xdr:row>
      <xdr:rowOff>209550</xdr:rowOff>
    </xdr:from>
    <xdr:ext cx="2276475" cy="278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50A51231-9413-4483-B57E-E4D20B918E4B}"/>
                </a:ext>
              </a:extLst>
            </xdr:cNvPr>
            <xdr:cNvSpPr txBox="1"/>
          </xdr:nvSpPr>
          <xdr:spPr>
            <a:xfrm>
              <a:off x="6477000" y="16535400"/>
              <a:ext cx="2276475" cy="278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skw"/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h𝑖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′+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′)</m:t>
                        </m:r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50A51231-9413-4483-B57E-E4D20B918E4B}"/>
                </a:ext>
              </a:extLst>
            </xdr:cNvPr>
            <xdr:cNvSpPr txBox="1"/>
          </xdr:nvSpPr>
          <xdr:spPr>
            <a:xfrm>
              <a:off x="6477000" y="16535400"/>
              <a:ext cx="2276475" cy="278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𝑆_𝑖=𝑎′𝑏′⁄(2ℎ𝑖(𝑎′+𝑏′))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327773</xdr:colOff>
      <xdr:row>93</xdr:row>
      <xdr:rowOff>209550</xdr:rowOff>
    </xdr:from>
    <xdr:ext cx="2276475" cy="1994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FD43C982-0AAB-497C-A980-483FB1A1E3E0}"/>
                </a:ext>
              </a:extLst>
            </xdr:cNvPr>
            <xdr:cNvSpPr txBox="1"/>
          </xdr:nvSpPr>
          <xdr:spPr>
            <a:xfrm>
              <a:off x="6457391" y="18699256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/[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FD43C982-0AAB-497C-A980-483FB1A1E3E0}"/>
                </a:ext>
              </a:extLst>
            </xdr:cNvPr>
            <xdr:cNvSpPr txBox="1"/>
          </xdr:nvSpPr>
          <xdr:spPr>
            <a:xfrm>
              <a:off x="6457391" y="18699256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𝜎_𝑞=𝑁_𝑞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428625</xdr:colOff>
      <xdr:row>96</xdr:row>
      <xdr:rowOff>85725</xdr:rowOff>
    </xdr:from>
    <xdr:ext cx="2276475" cy="4376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4BE9CA5D-0655-4727-ACC5-831439786C8E}"/>
                </a:ext>
              </a:extLst>
            </xdr:cNvPr>
            <xdr:cNvSpPr txBox="1"/>
          </xdr:nvSpPr>
          <xdr:spPr>
            <a:xfrm>
              <a:off x="6572250" y="16868775"/>
              <a:ext cx="2276475" cy="4376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Δ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𝑔</m:t>
                                    </m:r>
                                  </m:sub>
                                </m:s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sub>
                                </m:sSub>
                              </m:e>
                            </m:d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den>
                        </m:f>
                      </m:e>
                    </m:nary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4BE9CA5D-0655-4727-ACC5-831439786C8E}"/>
                </a:ext>
              </a:extLst>
            </xdr:cNvPr>
            <xdr:cNvSpPr txBox="1"/>
          </xdr:nvSpPr>
          <xdr:spPr>
            <a:xfrm>
              <a:off x="6572250" y="16868775"/>
              <a:ext cx="2276475" cy="4376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Δℎ=∑▒</a:t>
              </a:r>
              <a:r>
                <a:rPr lang="pt-BR" sz="11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𝜎_𝑔+𝜎_𝑞 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)/(𝑘_1 𝐺𝑆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+𝑘_2 (𝜎_𝑔+𝜎_𝑞))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180975</xdr:colOff>
      <xdr:row>97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704997A1-175D-4E93-B1DE-0808E063E674}"/>
                </a:ext>
              </a:extLst>
            </xdr:cNvPr>
            <xdr:cNvSpPr txBox="1"/>
          </xdr:nvSpPr>
          <xdr:spPr>
            <a:xfrm>
              <a:off x="1400175" y="156876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704997A1-175D-4E93-B1DE-0808E063E674}"/>
                </a:ext>
              </a:extLst>
            </xdr:cNvPr>
            <xdr:cNvSpPr txBox="1"/>
          </xdr:nvSpPr>
          <xdr:spPr>
            <a:xfrm>
              <a:off x="1400175" y="156876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Δℎ≤〖Δℎ〗_𝑙𝑖𝑚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447675</xdr:colOff>
      <xdr:row>132</xdr:row>
      <xdr:rowOff>28575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703633EE-A51D-47FF-90CB-FB8D88DEEF7A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703633EE-A51D-47FF-90CB-FB8D88DEEF7A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𝜏_𝑛+𝜏_ℎ+𝜏_𝜃≤5𝐺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447675</xdr:colOff>
      <xdr:row>144</xdr:row>
      <xdr:rowOff>28575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1E21BEDA-2F33-4AF1-9954-0B64C1E97F9C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1E21BEDA-2F33-4AF1-9954-0B64C1E97F9C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𝜏_𝑛+𝜏_ℎ+𝜏_𝜃≤5𝐺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twoCellAnchor editAs="oneCell">
    <xdr:from>
      <xdr:col>16</xdr:col>
      <xdr:colOff>796016</xdr:colOff>
      <xdr:row>36</xdr:row>
      <xdr:rowOff>130949</xdr:rowOff>
    </xdr:from>
    <xdr:to>
      <xdr:col>27</xdr:col>
      <xdr:colOff>593912</xdr:colOff>
      <xdr:row>65</xdr:row>
      <xdr:rowOff>38651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8BE0C921-3BF1-443F-CE35-3CCA4E754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7310" y="7403567"/>
          <a:ext cx="7395484" cy="5454613"/>
        </a:xfrm>
        <a:prstGeom prst="rect">
          <a:avLst/>
        </a:prstGeom>
      </xdr:spPr>
    </xdr:pic>
    <xdr:clientData/>
  </xdr:twoCellAnchor>
  <xdr:oneCellAnchor>
    <xdr:from>
      <xdr:col>2</xdr:col>
      <xdr:colOff>180975</xdr:colOff>
      <xdr:row>108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5888719F-A417-4BE7-AA98-4277FFE45BB3}"/>
                </a:ext>
              </a:extLst>
            </xdr:cNvPr>
            <xdr:cNvSpPr txBox="1"/>
          </xdr:nvSpPr>
          <xdr:spPr>
            <a:xfrm>
              <a:off x="1400175" y="163925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m:rPr>
                        <m:sty m:val="p"/>
                      </m:rPr>
                      <a:rPr lang="el-GR" sz="1100" b="0" i="0" kern="1200">
                        <a:latin typeface="Cambria Math" panose="02040503050406030204" pitchFamily="18" charset="0"/>
                      </a:rPr>
                      <m:t>θ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l-G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5888719F-A417-4BE7-AA98-4277FFE45BB3}"/>
                </a:ext>
              </a:extLst>
            </xdr:cNvPr>
            <xdr:cNvSpPr txBox="1"/>
          </xdr:nvSpPr>
          <xdr:spPr>
            <a:xfrm>
              <a:off x="1400175" y="163925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</a:t>
              </a:r>
              <a:r>
                <a:rPr lang="el-GR" sz="1100" b="0" i="0" kern="1200">
                  <a:latin typeface="Cambria Math" panose="02040503050406030204" pitchFamily="18" charset="0"/>
                </a:rPr>
                <a:t>θ</a:t>
              </a:r>
              <a:r>
                <a:rPr lang="pt-BR" sz="1100" b="0" i="0" kern="1200">
                  <a:latin typeface="Cambria Math" panose="02040503050406030204" pitchFamily="18" charset="0"/>
                </a:rPr>
                <a:t>≤〖Δ</a:t>
              </a:r>
              <a:r>
                <a:rPr lang="el-GR" sz="1100" b="0" i="0" kern="1200">
                  <a:latin typeface="Cambria Math" panose="02040503050406030204" pitchFamily="18" charset="0"/>
                </a:rPr>
                <a:t>𝜃</a:t>
              </a:r>
              <a:r>
                <a:rPr lang="pt-BR" sz="1100" b="0" i="0" kern="1200">
                  <a:latin typeface="Cambria Math" panose="02040503050406030204" pitchFamily="18" charset="0"/>
                </a:rPr>
                <a:t>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381000</xdr:colOff>
      <xdr:row>104</xdr:row>
      <xdr:rowOff>209550</xdr:rowOff>
    </xdr:from>
    <xdr:ext cx="2276475" cy="347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589590-B724-47F0-9EFA-861F8A183328}"/>
                </a:ext>
              </a:extLst>
            </xdr:cNvPr>
            <xdr:cNvSpPr txBox="1"/>
          </xdr:nvSpPr>
          <xdr:spPr>
            <a:xfrm>
              <a:off x="6510618" y="20873197"/>
              <a:ext cx="2276475" cy="34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Sup>
                          <m:sSub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589590-B724-47F0-9EFA-861F8A183328}"/>
                </a:ext>
              </a:extLst>
            </xdr:cNvPr>
            <xdr:cNvSpPr txBox="1"/>
          </xdr:nvSpPr>
          <xdr:spPr>
            <a:xfrm>
              <a:off x="6510618" y="20873197"/>
              <a:ext cx="2276475" cy="34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h_1=𝜎_𝑔/(𝑘_1 𝐺𝑆_𝑖^2+𝑘_2 𝜎_𝑔 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304800</xdr:colOff>
      <xdr:row>107</xdr:row>
      <xdr:rowOff>52668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CCC8B67A-716A-41CE-8968-81E73E1319B2}"/>
                </a:ext>
              </a:extLst>
            </xdr:cNvPr>
            <xdr:cNvSpPr txBox="1"/>
          </xdr:nvSpPr>
          <xdr:spPr>
            <a:xfrm>
              <a:off x="6434418" y="2135505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tan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⁡(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)=6</m:t>
                    </m:r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CCC8B67A-716A-41CE-8968-81E73E1319B2}"/>
                </a:ext>
              </a:extLst>
            </xdr:cNvPr>
            <xdr:cNvSpPr txBox="1"/>
          </xdr:nvSpPr>
          <xdr:spPr>
            <a:xfrm>
              <a:off x="6434418" y="2135505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tan⁡(𝜃_𝑙𝑖𝑚)=6Σ〖 ℎ_𝑖 ℎ〗_1𝑖/𝑎′</a:t>
              </a:r>
              <a:endParaRPr lang="pt-BR" sz="1100" b="0" kern="1200"/>
            </a:p>
          </xdr:txBody>
        </xdr:sp>
      </mc:Fallback>
    </mc:AlternateContent>
    <xdr:clientData/>
  </xdr:oneCellAnchor>
  <xdr:twoCellAnchor>
    <xdr:from>
      <xdr:col>0</xdr:col>
      <xdr:colOff>82924</xdr:colOff>
      <xdr:row>47</xdr:row>
      <xdr:rowOff>127187</xdr:rowOff>
    </xdr:from>
    <xdr:to>
      <xdr:col>5</xdr:col>
      <xdr:colOff>168649</xdr:colOff>
      <xdr:row>61</xdr:row>
      <xdr:rowOff>22412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58BBD956-0D1A-4DA4-8F92-62052BACBC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180975</xdr:colOff>
      <xdr:row>119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ABD638C-7389-4739-85DC-C7A23844B484}"/>
                </a:ext>
              </a:extLst>
            </xdr:cNvPr>
            <xdr:cNvSpPr txBox="1"/>
          </xdr:nvSpPr>
          <xdr:spPr>
            <a:xfrm>
              <a:off x="1402416" y="21076584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m:rPr>
                        <m:sty m:val="p"/>
                      </m:rPr>
                      <a:rPr lang="el-GR" sz="1100" b="0" i="0" kern="1200">
                        <a:latin typeface="Cambria Math" panose="02040503050406030204" pitchFamily="18" charset="0"/>
                      </a:rPr>
                      <m:t>θ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l-G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ABD638C-7389-4739-85DC-C7A23844B484}"/>
                </a:ext>
              </a:extLst>
            </xdr:cNvPr>
            <xdr:cNvSpPr txBox="1"/>
          </xdr:nvSpPr>
          <xdr:spPr>
            <a:xfrm>
              <a:off x="1402416" y="21076584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</a:t>
              </a:r>
              <a:r>
                <a:rPr lang="el-GR" sz="1100" b="0" i="0" kern="1200">
                  <a:latin typeface="Cambria Math" panose="02040503050406030204" pitchFamily="18" charset="0"/>
                </a:rPr>
                <a:t>θ</a:t>
              </a:r>
              <a:r>
                <a:rPr lang="pt-BR" sz="1100" b="0" i="0" kern="1200">
                  <a:latin typeface="Cambria Math" panose="02040503050406030204" pitchFamily="18" charset="0"/>
                </a:rPr>
                <a:t>≤〖Δ</a:t>
              </a:r>
              <a:r>
                <a:rPr lang="el-GR" sz="1100" b="0" i="0" kern="1200">
                  <a:latin typeface="Cambria Math" panose="02040503050406030204" pitchFamily="18" charset="0"/>
                </a:rPr>
                <a:t>𝜃</a:t>
              </a:r>
              <a:r>
                <a:rPr lang="pt-BR" sz="1100" b="0" i="0" kern="1200">
                  <a:latin typeface="Cambria Math" panose="02040503050406030204" pitchFamily="18" charset="0"/>
                </a:rPr>
                <a:t>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336176</xdr:colOff>
      <xdr:row>116</xdr:row>
      <xdr:rowOff>7844</xdr:rowOff>
    </xdr:from>
    <xdr:ext cx="2276475" cy="3659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E393A4E-D120-48AB-967F-04C0F1B4CC1D}"/>
                </a:ext>
              </a:extLst>
            </xdr:cNvPr>
            <xdr:cNvSpPr txBox="1"/>
          </xdr:nvSpPr>
          <xdr:spPr>
            <a:xfrm>
              <a:off x="6465794" y="23091962"/>
              <a:ext cx="2276475" cy="3659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𝑞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Sup>
                          <m:sSub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E393A4E-D120-48AB-967F-04C0F1B4CC1D}"/>
                </a:ext>
              </a:extLst>
            </xdr:cNvPr>
            <xdr:cNvSpPr txBox="1"/>
          </xdr:nvSpPr>
          <xdr:spPr>
            <a:xfrm>
              <a:off x="6465794" y="23091962"/>
              <a:ext cx="2276475" cy="3659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h_1=(𝜎_𝑔+𝜎_𝑞)/(𝑘_1 𝐺𝑆_𝑖^2+𝑘_2 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𝜎_𝑔+𝜎_𝑞</a:t>
              </a:r>
              <a:r>
                <a:rPr lang="pt-BR" sz="1100" b="0" i="0" kern="1200">
                  <a:latin typeface="Cambria Math" panose="02040503050406030204" pitchFamily="18" charset="0"/>
                </a:rPr>
                <a:t>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304800</xdr:colOff>
      <xdr:row>118</xdr:row>
      <xdr:rowOff>19050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C88D2A22-6A8C-407C-B3A1-CBB14B44D2C3}"/>
                </a:ext>
              </a:extLst>
            </xdr:cNvPr>
            <xdr:cNvSpPr txBox="1"/>
          </xdr:nvSpPr>
          <xdr:spPr>
            <a:xfrm>
              <a:off x="6434418" y="20895609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tan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⁡(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)=6</m:t>
                    </m:r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C88D2A22-6A8C-407C-B3A1-CBB14B44D2C3}"/>
                </a:ext>
              </a:extLst>
            </xdr:cNvPr>
            <xdr:cNvSpPr txBox="1"/>
          </xdr:nvSpPr>
          <xdr:spPr>
            <a:xfrm>
              <a:off x="6434418" y="20895609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tan⁡(𝜃_𝑙𝑖𝑚)=6Σ〖ℎ_𝑖  ℎ〗_1𝑖/𝑎′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336176</xdr:colOff>
      <xdr:row>126</xdr:row>
      <xdr:rowOff>11206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E7D92F95-6960-422F-A90F-CE41C2B61671}"/>
                </a:ext>
              </a:extLst>
            </xdr:cNvPr>
            <xdr:cNvSpPr txBox="1"/>
          </xdr:nvSpPr>
          <xdr:spPr>
            <a:xfrm>
              <a:off x="6465794" y="2460811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𝜂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E7D92F95-6960-422F-A90F-CE41C2B61671}"/>
                </a:ext>
              </a:extLst>
            </xdr:cNvPr>
            <xdr:cNvSpPr txBox="1"/>
          </xdr:nvSpPr>
          <xdr:spPr>
            <a:xfrm>
              <a:off x="6465794" y="2460811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𝜏_𝜂+𝜏_ℎ+𝜏_𝜃≤5𝐺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358588</xdr:colOff>
      <xdr:row>128</xdr:row>
      <xdr:rowOff>33617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647AD834-11DA-4538-9DDD-8E2D634B7B05}"/>
                </a:ext>
              </a:extLst>
            </xdr:cNvPr>
            <xdr:cNvSpPr txBox="1"/>
          </xdr:nvSpPr>
          <xdr:spPr>
            <a:xfrm>
              <a:off x="6488206" y="25045146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647AD834-11DA-4538-9DDD-8E2D634B7B05}"/>
                </a:ext>
              </a:extLst>
            </xdr:cNvPr>
            <xdr:cNvSpPr txBox="1"/>
          </xdr:nvSpPr>
          <xdr:spPr>
            <a:xfrm>
              <a:off x="6488206" y="25045146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𝜏_𝜂=1,5𝑁_𝑔/(𝑆_𝑖 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324970</xdr:colOff>
      <xdr:row>129</xdr:row>
      <xdr:rowOff>44824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EA666068-495A-4E1B-8200-EA99A0A99C38}"/>
                </a:ext>
              </a:extLst>
            </xdr:cNvPr>
            <xdr:cNvSpPr txBox="1"/>
          </xdr:nvSpPr>
          <xdr:spPr>
            <a:xfrm>
              <a:off x="6454588" y="2528047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EA666068-495A-4E1B-8200-EA99A0A99C38}"/>
                </a:ext>
              </a:extLst>
            </xdr:cNvPr>
            <xdr:cNvSpPr txBox="1"/>
          </xdr:nvSpPr>
          <xdr:spPr>
            <a:xfrm>
              <a:off x="6454588" y="2528047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ℎ=𝐻_𝑔/(𝑎𝑏)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324970</xdr:colOff>
      <xdr:row>130</xdr:row>
      <xdr:rowOff>67235</xdr:rowOff>
    </xdr:from>
    <xdr:ext cx="2276475" cy="1864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1C248725-8B49-493E-B538-95EB8C348AEA}"/>
                </a:ext>
              </a:extLst>
            </xdr:cNvPr>
            <xdr:cNvSpPr txBox="1"/>
          </xdr:nvSpPr>
          <xdr:spPr>
            <a:xfrm>
              <a:off x="6454588" y="25952823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𝐺</m:t>
                    </m:r>
                    <m:sSup>
                      <m:sSup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</m:d>
                    <m:func>
                      <m:func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sub>
                        </m:sSub>
                      </m:e>
                    </m:func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1C248725-8B49-493E-B538-95EB8C348AEA}"/>
                </a:ext>
              </a:extLst>
            </xdr:cNvPr>
            <xdr:cNvSpPr txBox="1"/>
          </xdr:nvSpPr>
          <xdr:spPr>
            <a:xfrm>
              <a:off x="6454588" y="25952823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𝜏_𝜃=𝐺𝑎^2/(2ℎ_𝑖 ℎ)  tan⁡〖𝜃_𝑔 〗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403411</xdr:colOff>
      <xdr:row>138</xdr:row>
      <xdr:rowOff>11206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518BA31-9677-4761-B874-E6ADFE6A0FDF}"/>
                </a:ext>
              </a:extLst>
            </xdr:cNvPr>
            <xdr:cNvSpPr txBox="1"/>
          </xdr:nvSpPr>
          <xdr:spPr>
            <a:xfrm>
              <a:off x="6533029" y="2702858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𝜂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518BA31-9677-4761-B874-E6ADFE6A0FDF}"/>
                </a:ext>
              </a:extLst>
            </xdr:cNvPr>
            <xdr:cNvSpPr txBox="1"/>
          </xdr:nvSpPr>
          <xdr:spPr>
            <a:xfrm>
              <a:off x="6533029" y="2702858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𝜏_𝜂+𝜏_ℎ+𝜏_𝜃≤5𝐺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437028</xdr:colOff>
      <xdr:row>139</xdr:row>
      <xdr:rowOff>179294</xdr:rowOff>
    </xdr:from>
    <xdr:ext cx="2276475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aixaDeTexto 35">
              <a:extLst>
                <a:ext uri="{FF2B5EF4-FFF2-40B4-BE49-F238E27FC236}">
                  <a16:creationId xmlns:a16="http://schemas.microsoft.com/office/drawing/2014/main" id="{BE1C9AB8-6E2E-406B-95AF-577AA32D8CCC}"/>
                </a:ext>
              </a:extLst>
            </xdr:cNvPr>
            <xdr:cNvSpPr txBox="1"/>
          </xdr:nvSpPr>
          <xdr:spPr>
            <a:xfrm>
              <a:off x="6566646" y="27420794"/>
              <a:ext cx="227647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=1,5(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+1,5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)/(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6" name="CaixaDeTexto 35">
              <a:extLst>
                <a:ext uri="{FF2B5EF4-FFF2-40B4-BE49-F238E27FC236}">
                  <a16:creationId xmlns:a16="http://schemas.microsoft.com/office/drawing/2014/main" id="{BE1C9AB8-6E2E-406B-95AF-577AA32D8CCC}"/>
                </a:ext>
              </a:extLst>
            </xdr:cNvPr>
            <xdr:cNvSpPr txBox="1"/>
          </xdr:nvSpPr>
          <xdr:spPr>
            <a:xfrm>
              <a:off x="6566646" y="27420794"/>
              <a:ext cx="227647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𝜏_𝜂=1,5(𝑁_𝑔+1,5𝑁_𝑞)/(𝑆_𝑖 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515470</xdr:colOff>
      <xdr:row>141</xdr:row>
      <xdr:rowOff>0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FB91EDE8-8F6C-408D-B636-ADA7D37840E9}"/>
                </a:ext>
              </a:extLst>
            </xdr:cNvPr>
            <xdr:cNvSpPr txBox="1"/>
          </xdr:nvSpPr>
          <xdr:spPr>
            <a:xfrm>
              <a:off x="6645088" y="27656118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)/(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FB91EDE8-8F6C-408D-B636-ADA7D37840E9}"/>
                </a:ext>
              </a:extLst>
            </xdr:cNvPr>
            <xdr:cNvSpPr txBox="1"/>
          </xdr:nvSpPr>
          <xdr:spPr>
            <a:xfrm>
              <a:off x="6645088" y="27656118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ℎ=(𝐻_𝑔+0,5𝐻_𝑞)/(𝑎𝑏)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392205</xdr:colOff>
      <xdr:row>142</xdr:row>
      <xdr:rowOff>33618</xdr:rowOff>
    </xdr:from>
    <xdr:ext cx="2276475" cy="1864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FCCF2F9-A5F6-477F-9A1B-5F7A2764F48D}"/>
                </a:ext>
              </a:extLst>
            </xdr:cNvPr>
            <xdr:cNvSpPr txBox="1"/>
          </xdr:nvSpPr>
          <xdr:spPr>
            <a:xfrm>
              <a:off x="6521823" y="28339677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𝐺</m:t>
                    </m:r>
                    <m:sSup>
                      <m:sSup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func>
                      <m:func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sub>
                        </m:sSub>
                      </m:e>
                    </m:func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FCCF2F9-A5F6-477F-9A1B-5F7A2764F48D}"/>
                </a:ext>
              </a:extLst>
            </xdr:cNvPr>
            <xdr:cNvSpPr txBox="1"/>
          </xdr:nvSpPr>
          <xdr:spPr>
            <a:xfrm>
              <a:off x="6521823" y="28339677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𝜏_𝜃=𝐺𝑎^2/(2ℎ ℎ_𝑖 )  tan⁡〖𝜃_(𝑔+𝑞) 〗</a:t>
              </a:r>
              <a:endParaRPr lang="pt-BR" sz="1100" b="0" kern="1200"/>
            </a:p>
          </xdr:txBody>
        </xdr:sp>
      </mc:Fallback>
    </mc:AlternateContent>
    <xdr:clientData/>
  </xdr:oneCellAnchor>
  <xdr:twoCellAnchor>
    <xdr:from>
      <xdr:col>12</xdr:col>
      <xdr:colOff>22411</xdr:colOff>
      <xdr:row>6</xdr:row>
      <xdr:rowOff>56030</xdr:rowOff>
    </xdr:from>
    <xdr:to>
      <xdr:col>14</xdr:col>
      <xdr:colOff>257734</xdr:colOff>
      <xdr:row>7</xdr:row>
      <xdr:rowOff>212912</xdr:rowOff>
    </xdr:to>
    <xdr:sp macro="[0]!VersionVerified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2937F191-E9E6-4A7C-A11B-61FDA1CD3D72}"/>
            </a:ext>
          </a:extLst>
        </xdr:cNvPr>
        <xdr:cNvSpPr/>
      </xdr:nvSpPr>
      <xdr:spPr>
        <a:xfrm>
          <a:off x="9267264" y="1277471"/>
          <a:ext cx="2151529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Verificar</a:t>
          </a:r>
          <a:r>
            <a:rPr lang="pt-BR" sz="1100" b="1" kern="1200" baseline="0">
              <a:solidFill>
                <a:sysClr val="windowText" lastClr="000000"/>
              </a:solidFill>
            </a:rPr>
            <a:t> Versão das Imagens </a:t>
          </a:r>
          <a:endParaRPr lang="pt-BR" sz="11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8</xdr:col>
      <xdr:colOff>428626</xdr:colOff>
      <xdr:row>103</xdr:row>
      <xdr:rowOff>139514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B85B279A-98B9-45FE-BA40-051927702EEE}"/>
                </a:ext>
              </a:extLst>
            </xdr:cNvPr>
            <xdr:cNvSpPr txBox="1"/>
          </xdr:nvSpPr>
          <xdr:spPr>
            <a:xfrm>
              <a:off x="6558244" y="2061266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B85B279A-98B9-45FE-BA40-051927702EEE}"/>
                </a:ext>
              </a:extLst>
            </xdr:cNvPr>
            <xdr:cNvSpPr txBox="1"/>
          </xdr:nvSpPr>
          <xdr:spPr>
            <a:xfrm>
              <a:off x="6558244" y="2061266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294154</xdr:colOff>
      <xdr:row>113</xdr:row>
      <xdr:rowOff>168088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8BB12C00-62C2-44AE-B4E1-6CFF91A0FF63}"/>
                </a:ext>
              </a:extLst>
            </xdr:cNvPr>
            <xdr:cNvSpPr txBox="1"/>
          </xdr:nvSpPr>
          <xdr:spPr>
            <a:xfrm>
              <a:off x="6423772" y="22613470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8BB12C00-62C2-44AE-B4E1-6CFF91A0FF63}"/>
                </a:ext>
              </a:extLst>
            </xdr:cNvPr>
            <xdr:cNvSpPr txBox="1"/>
          </xdr:nvSpPr>
          <xdr:spPr>
            <a:xfrm>
              <a:off x="6423772" y="22613470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313764</xdr:colOff>
      <xdr:row>115</xdr:row>
      <xdr:rowOff>0</xdr:rowOff>
    </xdr:from>
    <xdr:ext cx="2276475" cy="1994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E87969A-58EC-4440-9037-7D19417E974F}"/>
                </a:ext>
              </a:extLst>
            </xdr:cNvPr>
            <xdr:cNvSpPr txBox="1"/>
          </xdr:nvSpPr>
          <xdr:spPr>
            <a:xfrm>
              <a:off x="6443382" y="22860000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/[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E87969A-58EC-4440-9037-7D19417E974F}"/>
                </a:ext>
              </a:extLst>
            </xdr:cNvPr>
            <xdr:cNvSpPr txBox="1"/>
          </xdr:nvSpPr>
          <xdr:spPr>
            <a:xfrm>
              <a:off x="6443382" y="22860000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𝜎_𝑞=𝑁_𝑞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twoCellAnchor>
    <xdr:from>
      <xdr:col>5</xdr:col>
      <xdr:colOff>156881</xdr:colOff>
      <xdr:row>47</xdr:row>
      <xdr:rowOff>123264</xdr:rowOff>
    </xdr:from>
    <xdr:to>
      <xdr:col>11</xdr:col>
      <xdr:colOff>280146</xdr:colOff>
      <xdr:row>61</xdr:row>
      <xdr:rowOff>22411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2D70F6-79DD-451E-8C6D-24210FB8F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723899</xdr:colOff>
      <xdr:row>27</xdr:row>
      <xdr:rowOff>0</xdr:rowOff>
    </xdr:from>
    <xdr:to>
      <xdr:col>16</xdr:col>
      <xdr:colOff>9525</xdr:colOff>
      <xdr:row>29</xdr:row>
      <xdr:rowOff>0</xdr:rowOff>
    </xdr:to>
    <xdr:sp macro="[0]!Export_Table_Wor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4AC6296-2335-43E7-AD3E-FC64C86E5661}"/>
            </a:ext>
          </a:extLst>
        </xdr:cNvPr>
        <xdr:cNvSpPr/>
      </xdr:nvSpPr>
      <xdr:spPr>
        <a:xfrm>
          <a:off x="11439524" y="5267325"/>
          <a:ext cx="1381126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Exportar</a:t>
          </a:r>
        </a:p>
      </xdr:txBody>
    </xdr:sp>
    <xdr:clientData/>
  </xdr:twoCellAnchor>
  <xdr:twoCellAnchor editAs="oneCell">
    <xdr:from>
      <xdr:col>21</xdr:col>
      <xdr:colOff>107415</xdr:colOff>
      <xdr:row>36</xdr:row>
      <xdr:rowOff>38100</xdr:rowOff>
    </xdr:from>
    <xdr:to>
      <xdr:col>33</xdr:col>
      <xdr:colOff>204508</xdr:colOff>
      <xdr:row>64</xdr:row>
      <xdr:rowOff>57860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6734DDD3-7ECE-4CB8-8584-D99F58E3D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33340" y="6867525"/>
          <a:ext cx="7412293" cy="5468060"/>
        </a:xfrm>
        <a:prstGeom prst="rect">
          <a:avLst/>
        </a:prstGeom>
      </xdr:spPr>
    </xdr:pic>
    <xdr:clientData/>
  </xdr:twoCellAnchor>
  <xdr:twoCellAnchor>
    <xdr:from>
      <xdr:col>12</xdr:col>
      <xdr:colOff>22411</xdr:colOff>
      <xdr:row>6</xdr:row>
      <xdr:rowOff>56030</xdr:rowOff>
    </xdr:from>
    <xdr:to>
      <xdr:col>14</xdr:col>
      <xdr:colOff>257734</xdr:colOff>
      <xdr:row>7</xdr:row>
      <xdr:rowOff>212912</xdr:rowOff>
    </xdr:to>
    <xdr:sp macro="[0]!VersionVerified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CC96BEA5-145B-4828-BB05-9A7ECEA70BEA}"/>
            </a:ext>
          </a:extLst>
        </xdr:cNvPr>
        <xdr:cNvSpPr/>
      </xdr:nvSpPr>
      <xdr:spPr>
        <a:xfrm>
          <a:off x="9299761" y="1284755"/>
          <a:ext cx="2149848" cy="385482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Verificar</a:t>
          </a:r>
          <a:r>
            <a:rPr lang="pt-BR" sz="1100" b="1" kern="1200" baseline="0">
              <a:solidFill>
                <a:sysClr val="windowText" lastClr="000000"/>
              </a:solidFill>
            </a:rPr>
            <a:t> Versão das Imagens </a:t>
          </a:r>
          <a:endParaRPr lang="pt-BR" sz="11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29</xdr:col>
      <xdr:colOff>133350</xdr:colOff>
      <xdr:row>80</xdr:row>
      <xdr:rowOff>0</xdr:rowOff>
    </xdr:from>
    <xdr:ext cx="2276475" cy="19979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272B9A28-CDCC-4F7D-90B8-4BBAC22CF3D5}"/>
                </a:ext>
              </a:extLst>
            </xdr:cNvPr>
            <xdr:cNvSpPr txBox="1"/>
          </xdr:nvSpPr>
          <xdr:spPr>
            <a:xfrm>
              <a:off x="6886575" y="11401425"/>
              <a:ext cx="2276475" cy="1997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𝐴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𝐴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(1−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𝑥𝑑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p>
                    <m:sSup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</m:t>
                      </m:r>
                    </m:e>
                    <m:sup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′</m:t>
                      </m:r>
                    </m:sup>
                  </m:sSup>
                  <m:r>
                    <a:rPr lang="pt-BR" sz="1100" b="0" i="1" kern="1200"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𝑦𝑑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p>
                    <m:sSup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𝑏</m:t>
                      </m:r>
                    </m:e>
                    <m:sup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′</m:t>
                      </m:r>
                    </m:sup>
                  </m:sSup>
                  <m:r>
                    <a:rPr lang="pt-BR" sz="1100" b="0" i="1" kern="1200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1100" b="0" kern="1200"/>
                <a:t> </a:t>
              </a:r>
            </a:p>
          </xdr:txBody>
        </xdr:sp>
      </mc:Choice>
      <mc:Fallback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272B9A28-CDCC-4F7D-90B8-4BBAC22CF3D5}"/>
                </a:ext>
              </a:extLst>
            </xdr:cNvPr>
            <xdr:cNvSpPr txBox="1"/>
          </xdr:nvSpPr>
          <xdr:spPr>
            <a:xfrm>
              <a:off x="6886575" y="11401425"/>
              <a:ext cx="2276475" cy="1997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 kern="1200">
                  <a:latin typeface="Cambria Math" panose="02040503050406030204" pitchFamily="18" charset="0"/>
                </a:rPr>
                <a:t>𝐴_𝑟=𝐴_1 (1−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𝑣_𝑥𝑑/𝑎^′</a:t>
              </a:r>
              <a:r>
                <a:rPr lang="pt-BR" sz="1100" b="0" i="0" kern="1200">
                  <a:latin typeface="Cambria Math" panose="02040503050406030204" pitchFamily="18" charset="0"/>
                </a:rPr>
                <a:t>−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𝑣_𝑦𝑑/𝑏^′</a:t>
              </a:r>
              <a:r>
                <a:rPr lang="pt-BR" sz="1100" b="0" i="0" kern="1200">
                  <a:latin typeface="Cambria Math" panose="02040503050406030204" pitchFamily="18" charset="0"/>
                </a:rPr>
                <a:t>)</a:t>
              </a:r>
              <a:r>
                <a:rPr lang="pt-BR" sz="1100" b="0" kern="1200"/>
                <a:t> </a:t>
              </a:r>
            </a:p>
          </xdr:txBody>
        </xdr:sp>
      </mc:Fallback>
    </mc:AlternateContent>
    <xdr:clientData/>
  </xdr:oneCellAnchor>
  <xdr:oneCellAnchor>
    <xdr:from>
      <xdr:col>9</xdr:col>
      <xdr:colOff>352425</xdr:colOff>
      <xdr:row>78</xdr:row>
      <xdr:rowOff>28575</xdr:rowOff>
    </xdr:from>
    <xdr:ext cx="1209675" cy="34913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8D820752-C34E-4616-A879-5DE1E794BCB7}"/>
                </a:ext>
              </a:extLst>
            </xdr:cNvPr>
            <xdr:cNvSpPr txBox="1"/>
          </xdr:nvSpPr>
          <xdr:spPr>
            <a:xfrm>
              <a:off x="7105650" y="11658600"/>
              <a:ext cx="1209675" cy="3491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𝑐𝑑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1,5 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𝑧𝑑</m:t>
                            </m:r>
                          </m:sub>
                        </m:sSub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8D820752-C34E-4616-A879-5DE1E794BCB7}"/>
                </a:ext>
              </a:extLst>
            </xdr:cNvPr>
            <xdr:cNvSpPr txBox="1"/>
          </xdr:nvSpPr>
          <xdr:spPr>
            <a:xfrm>
              <a:off x="7105650" y="11658600"/>
              <a:ext cx="1209675" cy="3491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𝜖_𝑐𝑑=(1,5 𝐹_𝑧𝑑)/(𝐺𝐴_𝑟 𝑆)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9</xdr:col>
      <xdr:colOff>352425</xdr:colOff>
      <xdr:row>83</xdr:row>
      <xdr:rowOff>152400</xdr:rowOff>
    </xdr:from>
    <xdr:ext cx="1209675" cy="3419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F6C893A6-7098-4E06-8D9E-77D040A267B3}"/>
                </a:ext>
              </a:extLst>
            </xdr:cNvPr>
            <xdr:cNvSpPr txBox="1"/>
          </xdr:nvSpPr>
          <xdr:spPr>
            <a:xfrm>
              <a:off x="7105650" y="12468225"/>
              <a:ext cx="1209675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𝑐𝑑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𝑥𝑦𝑑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𝑞</m:t>
                            </m:r>
                          </m:sub>
                        </m:sSub>
                      </m:den>
                    </m:f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 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F6C893A6-7098-4E06-8D9E-77D040A267B3}"/>
                </a:ext>
              </a:extLst>
            </xdr:cNvPr>
            <xdr:cNvSpPr txBox="1"/>
          </xdr:nvSpPr>
          <xdr:spPr>
            <a:xfrm>
              <a:off x="7105650" y="12468225"/>
              <a:ext cx="1209675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𝜖_𝑐𝑑=𝑣_𝑥𝑦𝑑/𝑇_𝑞 ≤𝜖_(𝑞,𝑑 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29</xdr:col>
      <xdr:colOff>161925</xdr:colOff>
      <xdr:row>94</xdr:row>
      <xdr:rowOff>114300</xdr:rowOff>
    </xdr:from>
    <xdr:ext cx="1704975" cy="3951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16F3E83A-B8A4-40EB-82AD-4176C24BCC68}"/>
                </a:ext>
              </a:extLst>
            </xdr:cNvPr>
            <xdr:cNvSpPr txBox="1"/>
          </xdr:nvSpPr>
          <xdr:spPr>
            <a:xfrm>
              <a:off x="6915150" y="14525625"/>
              <a:ext cx="1704975" cy="3951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𝛼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sub>
                            </m:s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sSub>
                              <m:sSub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 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Σ</m:t>
                        </m:r>
                        <m:sSubSup>
                          <m:sSub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16F3E83A-B8A4-40EB-82AD-4176C24BCC68}"/>
                </a:ext>
              </a:extLst>
            </xdr:cNvPr>
            <xdr:cNvSpPr txBox="1"/>
          </xdr:nvSpPr>
          <xdr:spPr>
            <a:xfrm>
              <a:off x="6915150" y="14525625"/>
              <a:ext cx="1704975" cy="3951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𝜖_𝛼𝑑=((𝑎^2  𝛼_(𝑎,𝑑)+𝑏^2 𝛼_(𝑏,𝑑 ) ) 𝑡_𝑖)/(2Σ𝑡_𝑖^3 )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29</xdr:col>
      <xdr:colOff>142875</xdr:colOff>
      <xdr:row>100</xdr:row>
      <xdr:rowOff>200025</xdr:rowOff>
    </xdr:from>
    <xdr:ext cx="1704975" cy="3184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2527BDE-C7D3-4905-A0E7-75603F0E4537}"/>
                </a:ext>
              </a:extLst>
            </xdr:cNvPr>
            <xdr:cNvSpPr txBox="1"/>
          </xdr:nvSpPr>
          <xdr:spPr>
            <a:xfrm>
              <a:off x="6896100" y="15830550"/>
              <a:ext cx="1704975" cy="318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𝑢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2527BDE-C7D3-4905-A0E7-75603F0E4537}"/>
                </a:ext>
              </a:extLst>
            </xdr:cNvPr>
            <xdr:cNvSpPr txBox="1"/>
          </xdr:nvSpPr>
          <xdr:spPr>
            <a:xfrm>
              <a:off x="6896100" y="15830550"/>
              <a:ext cx="1704975" cy="318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𝜖_(𝑢,𝑑)=𝜖_(𝑢,𝑘)/𝛾_𝑚 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9</xdr:col>
      <xdr:colOff>123825</xdr:colOff>
      <xdr:row>96</xdr:row>
      <xdr:rowOff>28575</xdr:rowOff>
    </xdr:from>
    <xdr:ext cx="1704975" cy="18261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B9CBF3CA-905A-43AE-B73E-B2025C1F1DDF}"/>
                </a:ext>
              </a:extLst>
            </xdr:cNvPr>
            <xdr:cNvSpPr txBox="1"/>
          </xdr:nvSpPr>
          <xdr:spPr>
            <a:xfrm>
              <a:off x="6877050" y="15430500"/>
              <a:ext cx="17049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𝜖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𝜖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𝜖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B9CBF3CA-905A-43AE-B73E-B2025C1F1DDF}"/>
                </a:ext>
              </a:extLst>
            </xdr:cNvPr>
            <xdr:cNvSpPr txBox="1"/>
          </xdr:nvSpPr>
          <xdr:spPr>
            <a:xfrm>
              <a:off x="6877050" y="15430500"/>
              <a:ext cx="17049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𝜖_(𝑡,𝑑)=𝐾_𝐿 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𝜖_(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𝑢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,𝑑)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𝜖_(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,𝑑)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𝜖_(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,𝑑)</a:t>
              </a:r>
              <a:r>
                <a:rPr lang="pt-BR" sz="1100" b="0" i="0" kern="1200">
                  <a:latin typeface="Cambria Math" panose="02040503050406030204" pitchFamily="18" charset="0"/>
                </a:rPr>
                <a:t>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9525</xdr:colOff>
      <xdr:row>106</xdr:row>
      <xdr:rowOff>152400</xdr:rowOff>
    </xdr:from>
    <xdr:ext cx="3409950" cy="3802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A2B0722E-ADBE-494A-B869-ED48C9BA005B}"/>
                </a:ext>
              </a:extLst>
            </xdr:cNvPr>
            <xdr:cNvSpPr txBox="1"/>
          </xdr:nvSpPr>
          <xdr:spPr>
            <a:xfrm>
              <a:off x="6153150" y="17640300"/>
              <a:ext cx="3409950" cy="3802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  <m:d>
                          <m:d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den>
                    </m:f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≥2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𝑚𝑚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A2B0722E-ADBE-494A-B869-ED48C9BA005B}"/>
                </a:ext>
              </a:extLst>
            </xdr:cNvPr>
            <xdr:cNvSpPr txBox="1"/>
          </xdr:nvSpPr>
          <xdr:spPr>
            <a:xfrm>
              <a:off x="6153150" y="17640300"/>
              <a:ext cx="3409950" cy="3802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𝑡_𝑠=(𝐾_𝑝 𝐹_(𝑧,𝑑) (𝑡_1+𝑡_2 ) 𝐾_ℎ 𝛾_𝑚)/(𝐴_𝑟 𝑓_𝑦 )≥2𝑚𝑚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28</xdr:col>
      <xdr:colOff>266700</xdr:colOff>
      <xdr:row>114</xdr:row>
      <xdr:rowOff>0</xdr:rowOff>
    </xdr:from>
    <xdr:ext cx="2638425" cy="36939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27E0E0E-6EE4-4104-878C-9F935204AB98}"/>
                </a:ext>
              </a:extLst>
            </xdr:cNvPr>
            <xdr:cNvSpPr txBox="1"/>
          </xdr:nvSpPr>
          <xdr:spPr>
            <a:xfrm>
              <a:off x="6410325" y="19926300"/>
              <a:ext cx="26384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í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27E0E0E-6EE4-4104-878C-9F935204AB98}"/>
                </a:ext>
              </a:extLst>
            </xdr:cNvPr>
            <xdr:cNvSpPr txBox="1"/>
          </xdr:nvSpPr>
          <xdr:spPr>
            <a:xfrm>
              <a:off x="6410325" y="19926300"/>
              <a:ext cx="26384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𝑣_(𝑧,𝑚í𝑛)=(𝑎^′ 𝛼_(𝑎,𝑑 )+𝑏^′ 𝛼_(𝑏,𝑑 ))/𝐾_(𝑡,𝑑) 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28</xdr:col>
      <xdr:colOff>209550</xdr:colOff>
      <xdr:row>116</xdr:row>
      <xdr:rowOff>38100</xdr:rowOff>
    </xdr:from>
    <xdr:ext cx="2638425" cy="40992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550DB02-078E-43D3-AEB1-43BB9E54660D}"/>
                </a:ext>
              </a:extLst>
            </xdr:cNvPr>
            <xdr:cNvSpPr txBox="1"/>
          </xdr:nvSpPr>
          <xdr:spPr>
            <a:xfrm>
              <a:off x="6353175" y="20421600"/>
              <a:ext cx="2638425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𝐹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den>
                        </m:f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f>
                          <m:f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5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𝐺</m:t>
                            </m:r>
                            <m:sSubSup>
                              <m:sSub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</m:den>
                        </m:f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550DB02-078E-43D3-AEB1-43BB9E54660D}"/>
                </a:ext>
              </a:extLst>
            </xdr:cNvPr>
            <xdr:cNvSpPr txBox="1"/>
          </xdr:nvSpPr>
          <xdr:spPr>
            <a:xfrm>
              <a:off x="6353175" y="20421600"/>
              <a:ext cx="2638425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𝑣_(𝑧,𝑑)=∑▒〖</a:t>
              </a:r>
              <a:r>
                <a:rPr lang="pt-BR" sz="11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𝐹_𝑧 𝑡_𝑖)/𝐴^′ (1/(5𝐺𝑆_1^2 )+1/𝐸_𝑏 )</a:t>
              </a:r>
              <a:r>
                <a:rPr lang="pt-BR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28</xdr:col>
      <xdr:colOff>400050</xdr:colOff>
      <xdr:row>120</xdr:row>
      <xdr:rowOff>171450</xdr:rowOff>
    </xdr:from>
    <xdr:ext cx="2638425" cy="1769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F258D2C0-81B2-4003-B230-05E2AA5E9CF7}"/>
                </a:ext>
              </a:extLst>
            </xdr:cNvPr>
            <xdr:cNvSpPr txBox="1"/>
          </xdr:nvSpPr>
          <xdr:spPr>
            <a:xfrm>
              <a:off x="6543675" y="21545550"/>
              <a:ext cx="263842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F258D2C0-81B2-4003-B230-05E2AA5E9CF7}"/>
                </a:ext>
              </a:extLst>
            </xdr:cNvPr>
            <xdr:cNvSpPr txBox="1"/>
          </xdr:nvSpPr>
          <xdr:spPr>
            <a:xfrm>
              <a:off x="6543675" y="21545550"/>
              <a:ext cx="263842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𝜎=𝐹_(𝑧,𝑑)/𝐴_𝑟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28</xdr:col>
      <xdr:colOff>342900</xdr:colOff>
      <xdr:row>122</xdr:row>
      <xdr:rowOff>47625</xdr:rowOff>
    </xdr:from>
    <xdr:ext cx="2638425" cy="35638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C6B25559-6E87-40DD-9211-B3CB5417CFD5}"/>
                </a:ext>
              </a:extLst>
            </xdr:cNvPr>
            <xdr:cNvSpPr txBox="1"/>
          </xdr:nvSpPr>
          <xdr:spPr>
            <a:xfrm>
              <a:off x="6486525" y="21802725"/>
              <a:ext cx="2638425" cy="356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á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2</m:t>
                        </m:r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3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C6B25559-6E87-40DD-9211-B3CB5417CFD5}"/>
                </a:ext>
              </a:extLst>
            </xdr:cNvPr>
            <xdr:cNvSpPr txBox="1"/>
          </xdr:nvSpPr>
          <xdr:spPr>
            <a:xfrm>
              <a:off x="6486525" y="21802725"/>
              <a:ext cx="2638425" cy="356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𝜎_𝑚á𝑥=(2𝑎^′ 𝐺𝑆_1)/(3𝑇_𝑒 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28</xdr:col>
      <xdr:colOff>400050</xdr:colOff>
      <xdr:row>128</xdr:row>
      <xdr:rowOff>171450</xdr:rowOff>
    </xdr:from>
    <xdr:ext cx="2638425" cy="1769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0557A8-BD1F-4883-B5D9-334826DEE13E}"/>
                </a:ext>
              </a:extLst>
            </xdr:cNvPr>
            <xdr:cNvSpPr txBox="1"/>
          </xdr:nvSpPr>
          <xdr:spPr>
            <a:xfrm>
              <a:off x="6543675" y="20516850"/>
              <a:ext cx="263842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0557A8-BD1F-4883-B5D9-334826DEE13E}"/>
                </a:ext>
              </a:extLst>
            </xdr:cNvPr>
            <xdr:cNvSpPr txBox="1"/>
          </xdr:nvSpPr>
          <xdr:spPr>
            <a:xfrm>
              <a:off x="6543675" y="20516850"/>
              <a:ext cx="263842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𝜎=𝐹_(𝑧,𝑑)/𝐴_𝑟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29</xdr:col>
      <xdr:colOff>409575</xdr:colOff>
      <xdr:row>131</xdr:row>
      <xdr:rowOff>0</xdr:rowOff>
    </xdr:from>
    <xdr:ext cx="1438275" cy="26770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8C51B3D-0413-49AA-8F5B-51E9722D85CD}"/>
                </a:ext>
              </a:extLst>
            </xdr:cNvPr>
            <xdr:cNvSpPr txBox="1"/>
          </xdr:nvSpPr>
          <xdr:spPr>
            <a:xfrm>
              <a:off x="7162800" y="22593300"/>
              <a:ext cx="1438275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 xmlns:m="http://schemas.openxmlformats.org/officeDocument/2006/math">
                  <m:r>
                    <a:rPr lang="pt-BR" sz="1100" b="0" i="1" kern="1200">
                      <a:latin typeface="Cambria Math" panose="02040503050406030204" pitchFamily="18" charset="0"/>
                    </a:rPr>
                    <m:t>𝜎</m:t>
                  </m:r>
                  <m:r>
                    <a:rPr lang="pt-BR" sz="1100" b="0" i="1" kern="120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pt-BR" sz="1100" b="0" i="1" kern="120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𝑁</m:t>
                          </m:r>
                        </m:e>
                        <m:sub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𝑚</m:t>
                          </m:r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𝑛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pt-BR" sz="1100" b="0" i="1" kern="120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pt-BR" sz="1100" b="0" i="1" kern="1200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</m:sSub>
                    </m:den>
                  </m:f>
                  <m:r>
                    <a:rPr lang="pt-BR" sz="1100" b="0" i="1" kern="1200">
                      <a:latin typeface="Cambria Math" panose="02040503050406030204" pitchFamily="18" charset="0"/>
                    </a:rPr>
                    <m:t>≥ </m:t>
                  </m:r>
                </m:oMath>
              </a14:m>
              <a:r>
                <a:rPr lang="pt-BR" sz="1100" b="0" kern="1200"/>
                <a:t>0,003 [MPa]</a:t>
              </a:r>
            </a:p>
          </xdr:txBody>
        </xdr:sp>
      </mc:Choice>
      <mc:Fallback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8C51B3D-0413-49AA-8F5B-51E9722D85CD}"/>
                </a:ext>
              </a:extLst>
            </xdr:cNvPr>
            <xdr:cNvSpPr txBox="1"/>
          </xdr:nvSpPr>
          <xdr:spPr>
            <a:xfrm>
              <a:off x="7162800" y="22593300"/>
              <a:ext cx="1438275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𝜎=𝑁_𝑚í𝑛/𝐴_𝑟 ≥ </a:t>
              </a:r>
              <a:r>
                <a:rPr lang="pt-BR" sz="1100" b="0" kern="1200"/>
                <a:t>0,003 [MPa]</a:t>
              </a:r>
            </a:p>
          </xdr:txBody>
        </xdr:sp>
      </mc:Fallback>
    </mc:AlternateContent>
    <xdr:clientData/>
  </xdr:oneCellAnchor>
  <xdr:twoCellAnchor>
    <xdr:from>
      <xdr:col>0</xdr:col>
      <xdr:colOff>295275</xdr:colOff>
      <xdr:row>56</xdr:row>
      <xdr:rowOff>38100</xdr:rowOff>
    </xdr:from>
    <xdr:to>
      <xdr:col>5</xdr:col>
      <xdr:colOff>381000</xdr:colOff>
      <xdr:row>71</xdr:row>
      <xdr:rowOff>47625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7DA41E2-3CBF-4DAA-A26D-181D1B822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14</xdr:row>
      <xdr:rowOff>171450</xdr:rowOff>
    </xdr:from>
    <xdr:to>
      <xdr:col>16</xdr:col>
      <xdr:colOff>19050</xdr:colOff>
      <xdr:row>27</xdr:row>
      <xdr:rowOff>66674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AE55915-BFCE-DD0F-3CDA-B68A7CF5A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209550</xdr:colOff>
      <xdr:row>0</xdr:row>
      <xdr:rowOff>100012</xdr:rowOff>
    </xdr:from>
    <xdr:to>
      <xdr:col>14</xdr:col>
      <xdr:colOff>514350</xdr:colOff>
      <xdr:row>14</xdr:row>
      <xdr:rowOff>166687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B0741FE-D55F-436F-1F79-C7B962851A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3</xdr:row>
      <xdr:rowOff>66675</xdr:rowOff>
    </xdr:from>
    <xdr:to>
      <xdr:col>31</xdr:col>
      <xdr:colOff>409575</xdr:colOff>
      <xdr:row>15</xdr:row>
      <xdr:rowOff>171449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A906E-AF15-4AF5-92D5-ED58CEDBA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osniak Engenharia" id="{E8950FA6-615F-4290-8C72-A81CC725932E}" userId="3b59c5a9af63c483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74" dT="2025-01-20T20:50:24.88" personId="{E8950FA6-615F-4290-8C72-A81CC725932E}" id="{902F51FA-38D5-4BCD-BAF3-2B6A85BBF7CD}" done="1">
    <text xml:space="preserve">Conferir esse valor, está estranho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E148"/>
  <sheetViews>
    <sheetView showGridLines="0" topLeftCell="A24" zoomScale="85" zoomScaleNormal="85" workbookViewId="0">
      <selection activeCell="A40" sqref="A40:XFD40"/>
    </sheetView>
  </sheetViews>
  <sheetFormatPr defaultRowHeight="15" x14ac:dyDescent="0.25"/>
  <cols>
    <col min="1" max="1" width="6" customWidth="1"/>
    <col min="2" max="2" width="12.28515625" customWidth="1"/>
    <col min="3" max="3" width="8.7109375" bestFit="1" customWidth="1"/>
    <col min="4" max="4" width="28.5703125" customWidth="1"/>
    <col min="9" max="9" width="9.140625" customWidth="1"/>
    <col min="11" max="11" width="19.5703125" customWidth="1"/>
    <col min="13" max="13" width="17.85546875" customWidth="1"/>
    <col min="14" max="14" width="10.85546875" customWidth="1"/>
    <col min="17" max="17" width="17.5703125" customWidth="1"/>
    <col min="21" max="21" width="14.5703125" customWidth="1"/>
  </cols>
  <sheetData>
    <row r="1" spans="1:30" ht="15.75" x14ac:dyDescent="0.25">
      <c r="A1" s="127" t="s">
        <v>13</v>
      </c>
      <c r="B1" s="128"/>
      <c r="M1" s="121" t="s">
        <v>0</v>
      </c>
      <c r="N1" s="122"/>
      <c r="O1" s="122"/>
      <c r="P1" s="122"/>
      <c r="Q1" s="123"/>
      <c r="U1" s="136" t="s">
        <v>1</v>
      </c>
      <c r="V1" s="136"/>
      <c r="W1" s="136"/>
      <c r="AC1" s="116" t="s">
        <v>2</v>
      </c>
      <c r="AD1" s="117"/>
    </row>
    <row r="2" spans="1:30" x14ac:dyDescent="0.25">
      <c r="A2" s="134" t="s">
        <v>15</v>
      </c>
      <c r="B2" s="135"/>
      <c r="C2" s="28"/>
      <c r="D2" s="35" t="s">
        <v>16</v>
      </c>
      <c r="E2" s="28"/>
      <c r="F2" s="28"/>
      <c r="G2" s="28"/>
      <c r="H2" s="28"/>
      <c r="I2" s="28"/>
      <c r="J2" s="28"/>
      <c r="K2" s="36"/>
      <c r="M2" s="9" t="s">
        <v>127</v>
      </c>
      <c r="N2" s="10"/>
      <c r="O2" s="10"/>
      <c r="P2" s="10"/>
      <c r="Q2" s="11"/>
      <c r="U2" s="23"/>
      <c r="V2" t="s">
        <v>3</v>
      </c>
      <c r="AC2" s="37"/>
      <c r="AD2" s="38" t="s">
        <v>4</v>
      </c>
    </row>
    <row r="3" spans="1:30" x14ac:dyDescent="0.25">
      <c r="A3" s="3"/>
      <c r="B3" s="47"/>
      <c r="C3" s="4"/>
      <c r="D3" s="4"/>
      <c r="E3" s="4"/>
      <c r="F3" s="4"/>
      <c r="G3" s="4"/>
      <c r="H3" s="4"/>
      <c r="I3" s="4"/>
      <c r="J3" s="4"/>
      <c r="K3" s="5"/>
      <c r="M3" s="12" t="s">
        <v>128</v>
      </c>
      <c r="N3" s="13"/>
      <c r="O3" s="13"/>
      <c r="P3" s="13"/>
      <c r="Q3" s="14"/>
      <c r="U3" s="39"/>
      <c r="V3" t="s">
        <v>5</v>
      </c>
      <c r="AC3" s="40"/>
      <c r="AD3" s="38" t="s">
        <v>6</v>
      </c>
    </row>
    <row r="4" spans="1:30" x14ac:dyDescent="0.25">
      <c r="A4" s="18" t="s">
        <v>19</v>
      </c>
      <c r="B4" s="19">
        <v>200000</v>
      </c>
      <c r="C4" s="17" t="s">
        <v>20</v>
      </c>
      <c r="D4" s="20"/>
      <c r="E4" s="21" t="s">
        <v>21</v>
      </c>
      <c r="F4" s="21"/>
      <c r="K4" s="8"/>
      <c r="M4" s="6" t="s">
        <v>210</v>
      </c>
      <c r="Q4" s="8"/>
      <c r="U4" s="41"/>
      <c r="V4" t="s">
        <v>7</v>
      </c>
      <c r="AC4" s="42"/>
      <c r="AD4" s="38" t="s">
        <v>8</v>
      </c>
    </row>
    <row r="5" spans="1:30" ht="18" x14ac:dyDescent="0.35">
      <c r="A5" s="18" t="s">
        <v>23</v>
      </c>
      <c r="B5" s="19">
        <v>1.1000000000000001</v>
      </c>
      <c r="C5" s="17" t="s">
        <v>24</v>
      </c>
      <c r="D5" s="20"/>
      <c r="E5" s="21" t="s">
        <v>42</v>
      </c>
      <c r="F5" s="21"/>
      <c r="K5" s="8"/>
      <c r="M5" s="15"/>
      <c r="N5" s="7"/>
      <c r="O5" s="7"/>
      <c r="P5" s="7"/>
      <c r="Q5" s="16"/>
      <c r="U5" s="43"/>
      <c r="V5" t="s">
        <v>9</v>
      </c>
      <c r="AC5" s="44"/>
      <c r="AD5" s="38" t="s">
        <v>10</v>
      </c>
    </row>
    <row r="6" spans="1:30" ht="18" x14ac:dyDescent="0.35">
      <c r="A6" s="22" t="s">
        <v>25</v>
      </c>
      <c r="B6" s="19">
        <v>1.35</v>
      </c>
      <c r="C6" s="17" t="s">
        <v>24</v>
      </c>
      <c r="D6" s="20"/>
      <c r="E6" s="21" t="s">
        <v>26</v>
      </c>
      <c r="F6" s="21"/>
      <c r="K6" s="8"/>
      <c r="U6" s="2"/>
      <c r="V6" t="s">
        <v>11</v>
      </c>
      <c r="AC6" s="45"/>
      <c r="AD6" s="38" t="s">
        <v>12</v>
      </c>
    </row>
    <row r="7" spans="1:30" ht="18" x14ac:dyDescent="0.35">
      <c r="A7" s="22" t="s">
        <v>120</v>
      </c>
      <c r="B7" s="24">
        <v>4</v>
      </c>
      <c r="C7" s="17" t="s">
        <v>24</v>
      </c>
      <c r="D7" s="17" t="s">
        <v>206</v>
      </c>
      <c r="E7" s="21"/>
      <c r="F7" s="21"/>
      <c r="K7" s="8"/>
      <c r="AC7" s="46"/>
      <c r="AD7" s="38" t="s">
        <v>14</v>
      </c>
    </row>
    <row r="8" spans="1:30" ht="18" x14ac:dyDescent="0.35">
      <c r="A8" s="22" t="s">
        <v>121</v>
      </c>
      <c r="B8" s="24">
        <v>3</v>
      </c>
      <c r="C8" s="17" t="s">
        <v>24</v>
      </c>
      <c r="D8" s="17" t="s">
        <v>206</v>
      </c>
      <c r="E8" s="21"/>
      <c r="F8" s="21"/>
      <c r="K8" s="8"/>
      <c r="U8" s="118"/>
      <c r="V8" s="119"/>
      <c r="W8" s="119"/>
      <c r="X8" s="119"/>
      <c r="Y8" s="120"/>
    </row>
    <row r="9" spans="1:30" ht="18" x14ac:dyDescent="0.35">
      <c r="A9" s="18" t="s">
        <v>27</v>
      </c>
      <c r="B9" s="24">
        <v>345</v>
      </c>
      <c r="C9" s="17" t="s">
        <v>20</v>
      </c>
      <c r="D9" s="21"/>
      <c r="E9" s="21" t="s">
        <v>28</v>
      </c>
      <c r="F9" s="21"/>
      <c r="K9" s="8"/>
    </row>
    <row r="10" spans="1:30" x14ac:dyDescent="0.25">
      <c r="A10" s="15"/>
      <c r="B10" s="7"/>
      <c r="C10" s="7"/>
      <c r="D10" s="25"/>
      <c r="E10" s="25"/>
      <c r="F10" s="25"/>
      <c r="G10" s="7"/>
      <c r="H10" s="7"/>
      <c r="I10" s="7"/>
      <c r="J10" s="7"/>
      <c r="K10" s="16"/>
    </row>
    <row r="11" spans="1:30" x14ac:dyDescent="0.25">
      <c r="A11" s="55" t="s">
        <v>34</v>
      </c>
      <c r="B11" s="26"/>
      <c r="C11" s="52"/>
      <c r="D11" s="53"/>
      <c r="E11" s="52"/>
      <c r="F11" s="52"/>
      <c r="G11" s="52"/>
      <c r="H11" s="52"/>
      <c r="I11" s="52"/>
      <c r="J11" s="52"/>
      <c r="K11" s="54"/>
      <c r="M11" s="124" t="s">
        <v>17</v>
      </c>
      <c r="N11" s="125"/>
      <c r="O11" s="125"/>
      <c r="P11" s="125"/>
      <c r="Q11" s="126"/>
    </row>
    <row r="12" spans="1:30" x14ac:dyDescent="0.25">
      <c r="D12" s="21"/>
      <c r="E12" s="21"/>
      <c r="F12" s="21"/>
      <c r="K12" s="8"/>
      <c r="M12" s="32" t="s">
        <v>18</v>
      </c>
      <c r="N12" s="30">
        <f>F70</f>
        <v>0.23333333333333334</v>
      </c>
      <c r="O12" s="50" t="s">
        <v>64</v>
      </c>
      <c r="P12" s="50"/>
      <c r="Q12" s="51"/>
    </row>
    <row r="13" spans="1:30" ht="18" x14ac:dyDescent="0.35">
      <c r="A13" s="56" t="s">
        <v>82</v>
      </c>
      <c r="B13" s="19">
        <v>600</v>
      </c>
      <c r="C13" s="17" t="s">
        <v>35</v>
      </c>
      <c r="E13" s="21" t="s">
        <v>84</v>
      </c>
      <c r="K13" s="8"/>
      <c r="M13" s="32" t="s">
        <v>49</v>
      </c>
      <c r="N13" s="30">
        <f>F79</f>
        <v>0.68627450980392157</v>
      </c>
      <c r="O13" s="50" t="s">
        <v>201</v>
      </c>
      <c r="P13" s="50"/>
      <c r="Q13" s="51"/>
    </row>
    <row r="14" spans="1:30" ht="18" x14ac:dyDescent="0.35">
      <c r="A14" s="56" t="s">
        <v>83</v>
      </c>
      <c r="B14" s="19">
        <v>100</v>
      </c>
      <c r="C14" s="17" t="s">
        <v>35</v>
      </c>
      <c r="E14" s="21" t="s">
        <v>85</v>
      </c>
      <c r="K14" s="8"/>
      <c r="M14" s="32" t="s">
        <v>22</v>
      </c>
      <c r="N14" s="30">
        <f>F88</f>
        <v>0.7777501244400199</v>
      </c>
      <c r="O14" t="s">
        <v>124</v>
      </c>
      <c r="P14" s="50"/>
      <c r="Q14" s="51"/>
    </row>
    <row r="15" spans="1:30" ht="18" x14ac:dyDescent="0.35">
      <c r="A15" s="56" t="s">
        <v>62</v>
      </c>
      <c r="B15" s="24">
        <f>SUM(B13:B14)</f>
        <v>700</v>
      </c>
      <c r="C15" s="17" t="s">
        <v>35</v>
      </c>
      <c r="D15" s="20"/>
      <c r="E15" s="21" t="s">
        <v>63</v>
      </c>
      <c r="F15" s="21"/>
      <c r="K15" s="8"/>
      <c r="M15" s="32" t="s">
        <v>50</v>
      </c>
      <c r="N15" s="30">
        <f>F100</f>
        <v>0.38934458450870046</v>
      </c>
      <c r="O15" s="50" t="s">
        <v>123</v>
      </c>
      <c r="P15" s="50"/>
      <c r="Q15" s="51"/>
    </row>
    <row r="16" spans="1:30" ht="18" x14ac:dyDescent="0.35">
      <c r="A16" s="56" t="s">
        <v>88</v>
      </c>
      <c r="B16" s="24">
        <f>2*B46*1/10</f>
        <v>390</v>
      </c>
      <c r="C16" s="17" t="s">
        <v>35</v>
      </c>
      <c r="D16" s="17" t="s">
        <v>77</v>
      </c>
      <c r="E16" s="21" t="s">
        <v>89</v>
      </c>
      <c r="F16" s="21"/>
      <c r="K16" s="8"/>
      <c r="M16" s="32" t="s">
        <v>51</v>
      </c>
      <c r="N16" s="30">
        <f>F111</f>
        <v>0.6416362559304607</v>
      </c>
      <c r="O16" s="50" t="s">
        <v>190</v>
      </c>
      <c r="P16" s="50"/>
      <c r="Q16" s="51"/>
    </row>
    <row r="17" spans="1:17" x14ac:dyDescent="0.25">
      <c r="A17" s="56"/>
      <c r="B17" s="113" t="str">
        <f>IF(B16&lt;=B13,"Verificado","Esforço inferior ao mínimo")</f>
        <v>Verificado</v>
      </c>
      <c r="C17" s="114"/>
      <c r="D17" s="17" t="s">
        <v>77</v>
      </c>
      <c r="E17" s="21" t="s">
        <v>106</v>
      </c>
      <c r="F17" s="21"/>
      <c r="K17" s="8"/>
      <c r="M17" s="32" t="s">
        <v>149</v>
      </c>
      <c r="N17" s="30">
        <f>F122</f>
        <v>0.74423887581967585</v>
      </c>
      <c r="O17" s="50" t="s">
        <v>190</v>
      </c>
      <c r="P17" s="50"/>
      <c r="Q17" s="51"/>
    </row>
    <row r="18" spans="1:17" x14ac:dyDescent="0.25">
      <c r="A18" s="56"/>
      <c r="C18" s="17"/>
      <c r="D18" s="20"/>
      <c r="E18" s="21"/>
      <c r="F18" s="21"/>
      <c r="K18" s="8"/>
      <c r="M18" s="32" t="s">
        <v>189</v>
      </c>
      <c r="N18" s="30">
        <f>F135</f>
        <v>0.46140191883842924</v>
      </c>
      <c r="O18" s="95" t="s">
        <v>148</v>
      </c>
      <c r="P18" s="50"/>
      <c r="Q18" s="51"/>
    </row>
    <row r="19" spans="1:17" ht="18" x14ac:dyDescent="0.35">
      <c r="A19" s="56" t="s">
        <v>101</v>
      </c>
      <c r="B19" s="19">
        <v>80</v>
      </c>
      <c r="C19" s="17" t="s">
        <v>35</v>
      </c>
      <c r="E19" s="21" t="s">
        <v>84</v>
      </c>
      <c r="K19" s="8"/>
      <c r="M19" s="32" t="s">
        <v>191</v>
      </c>
      <c r="N19" s="30">
        <f>F147</f>
        <v>0.54909361717475114</v>
      </c>
      <c r="O19" s="50" t="s">
        <v>150</v>
      </c>
      <c r="P19" s="50"/>
      <c r="Q19" s="51"/>
    </row>
    <row r="20" spans="1:17" ht="18" x14ac:dyDescent="0.35">
      <c r="A20" s="56" t="s">
        <v>102</v>
      </c>
      <c r="B20" s="19">
        <v>30</v>
      </c>
      <c r="C20" s="17" t="s">
        <v>35</v>
      </c>
      <c r="E20" s="21" t="s">
        <v>85</v>
      </c>
      <c r="K20" s="8"/>
    </row>
    <row r="21" spans="1:17" x14ac:dyDescent="0.25">
      <c r="E21" s="21"/>
      <c r="F21" s="21"/>
      <c r="K21" s="8"/>
      <c r="M21" s="129" t="s">
        <v>67</v>
      </c>
      <c r="N21" s="130"/>
      <c r="O21" s="130"/>
      <c r="P21" s="131"/>
    </row>
    <row r="22" spans="1:17" x14ac:dyDescent="0.25">
      <c r="A22" s="55" t="s">
        <v>33</v>
      </c>
      <c r="B22" s="26"/>
      <c r="C22" s="52"/>
      <c r="D22" s="53" t="s">
        <v>133</v>
      </c>
      <c r="E22" s="52"/>
      <c r="F22" s="52"/>
      <c r="G22" s="52"/>
      <c r="H22" s="52"/>
      <c r="I22" s="52"/>
      <c r="J22" s="52"/>
      <c r="K22" s="54"/>
      <c r="M22" s="2" t="s">
        <v>211</v>
      </c>
      <c r="N22" s="19" t="s">
        <v>199</v>
      </c>
      <c r="O22" s="132"/>
      <c r="P22" s="133"/>
    </row>
    <row r="23" spans="1:17" x14ac:dyDescent="0.25">
      <c r="A23" s="3"/>
      <c r="B23" s="96"/>
      <c r="C23" s="4"/>
      <c r="D23" s="97"/>
      <c r="E23" s="97"/>
      <c r="F23" s="97"/>
      <c r="G23" s="4"/>
      <c r="H23" s="4"/>
      <c r="I23" s="4"/>
      <c r="J23" s="4"/>
      <c r="K23" s="5"/>
      <c r="M23" s="2" t="s">
        <v>108</v>
      </c>
      <c r="N23" s="19" t="s">
        <v>199</v>
      </c>
      <c r="O23" s="132"/>
      <c r="P23" s="133"/>
    </row>
    <row r="24" spans="1:17" x14ac:dyDescent="0.25">
      <c r="A24" s="18" t="s">
        <v>167</v>
      </c>
      <c r="B24" s="34">
        <f>VLOOKUP(D22,M33:O36,2,FALSE)</f>
        <v>50</v>
      </c>
      <c r="C24" s="20" t="s">
        <v>20</v>
      </c>
      <c r="D24" s="17" t="s">
        <v>130</v>
      </c>
      <c r="E24" s="21" t="s">
        <v>168</v>
      </c>
      <c r="F24" s="21"/>
      <c r="K24" s="8"/>
      <c r="M24" s="2" t="s">
        <v>70</v>
      </c>
      <c r="N24" s="19" t="s">
        <v>71</v>
      </c>
      <c r="O24" s="132"/>
      <c r="P24" s="133"/>
      <c r="Q24" s="31" t="s">
        <v>71</v>
      </c>
    </row>
    <row r="25" spans="1:17" x14ac:dyDescent="0.25">
      <c r="A25" s="18" t="s">
        <v>99</v>
      </c>
      <c r="B25" s="34">
        <f>VLOOKUP(D22,M34:O36,3,FALSE)</f>
        <v>0.8</v>
      </c>
      <c r="C25" s="20" t="s">
        <v>20</v>
      </c>
      <c r="D25" s="17" t="s">
        <v>130</v>
      </c>
      <c r="E25" s="21" t="s">
        <v>129</v>
      </c>
      <c r="F25" s="21"/>
      <c r="K25" s="8"/>
      <c r="M25" s="2" t="s">
        <v>68</v>
      </c>
      <c r="N25" s="19"/>
      <c r="O25" s="2" t="s">
        <v>69</v>
      </c>
      <c r="P25" s="2"/>
      <c r="Q25" s="31" t="s">
        <v>72</v>
      </c>
    </row>
    <row r="26" spans="1:17" x14ac:dyDescent="0.25">
      <c r="A26" s="18" t="s">
        <v>170</v>
      </c>
      <c r="B26" s="82">
        <v>0.01</v>
      </c>
      <c r="C26" s="17" t="s">
        <v>43</v>
      </c>
      <c r="D26" s="21"/>
      <c r="E26" s="21" t="s">
        <v>171</v>
      </c>
      <c r="F26" s="21"/>
      <c r="K26" s="8"/>
      <c r="M26" s="2" t="s">
        <v>200</v>
      </c>
      <c r="N26" s="101">
        <v>3</v>
      </c>
      <c r="O26" s="100"/>
      <c r="P26" s="51"/>
    </row>
    <row r="27" spans="1:17" x14ac:dyDescent="0.25">
      <c r="A27" s="15"/>
      <c r="B27" s="98"/>
      <c r="C27" s="7"/>
      <c r="D27" s="7"/>
      <c r="E27" s="7"/>
      <c r="F27" s="7"/>
      <c r="G27" s="7"/>
      <c r="H27" s="7"/>
      <c r="I27" s="7"/>
      <c r="J27" s="7"/>
      <c r="K27" s="16"/>
      <c r="M27" s="171" t="s">
        <v>326</v>
      </c>
      <c r="N27" s="101" t="s">
        <v>327</v>
      </c>
      <c r="O27" s="100"/>
      <c r="P27" s="51"/>
    </row>
    <row r="28" spans="1:17" x14ac:dyDescent="0.25">
      <c r="A28" s="57" t="s">
        <v>47</v>
      </c>
      <c r="B28" s="58"/>
      <c r="C28" s="58"/>
      <c r="D28" s="35" t="s">
        <v>60</v>
      </c>
      <c r="E28" s="59"/>
      <c r="F28" s="28"/>
      <c r="G28" s="28"/>
      <c r="H28" s="28"/>
      <c r="I28" s="28"/>
      <c r="J28" s="28"/>
      <c r="K28" s="36"/>
      <c r="M28" s="147" t="s">
        <v>136</v>
      </c>
      <c r="N28" s="148"/>
      <c r="P28" s="8"/>
    </row>
    <row r="29" spans="1:17" x14ac:dyDescent="0.25">
      <c r="A29" s="73" t="s">
        <v>159</v>
      </c>
      <c r="B29" s="74"/>
      <c r="C29" s="74"/>
      <c r="D29" s="75"/>
      <c r="E29" s="76"/>
      <c r="F29" s="77"/>
      <c r="G29" s="77"/>
      <c r="H29" s="77"/>
      <c r="I29" s="77"/>
      <c r="J29" s="77"/>
      <c r="K29" s="78"/>
      <c r="M29" s="149"/>
      <c r="N29" s="150"/>
      <c r="O29" s="7"/>
      <c r="P29" s="16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5"/>
    </row>
    <row r="31" spans="1:17" x14ac:dyDescent="0.25">
      <c r="A31" s="33" t="s">
        <v>36</v>
      </c>
      <c r="B31" s="19">
        <v>400</v>
      </c>
      <c r="C31" s="17" t="s">
        <v>39</v>
      </c>
      <c r="E31" t="s">
        <v>48</v>
      </c>
      <c r="K31" s="8"/>
    </row>
    <row r="32" spans="1:17" ht="15" customHeight="1" x14ac:dyDescent="0.25">
      <c r="A32" s="33" t="s">
        <v>37</v>
      </c>
      <c r="B32" s="19">
        <v>500</v>
      </c>
      <c r="C32" s="17" t="s">
        <v>39</v>
      </c>
      <c r="E32" t="s">
        <v>44</v>
      </c>
      <c r="K32" s="8"/>
    </row>
    <row r="33" spans="1:15" ht="18" x14ac:dyDescent="0.35">
      <c r="A33" s="33" t="s">
        <v>79</v>
      </c>
      <c r="B33" s="19">
        <v>10</v>
      </c>
      <c r="C33" s="17" t="s">
        <v>39</v>
      </c>
      <c r="E33" t="s">
        <v>80</v>
      </c>
      <c r="K33" s="8"/>
      <c r="M33" s="66" t="s">
        <v>131</v>
      </c>
      <c r="N33" s="66" t="s">
        <v>169</v>
      </c>
      <c r="O33" s="66" t="s">
        <v>132</v>
      </c>
    </row>
    <row r="34" spans="1:15" x14ac:dyDescent="0.25">
      <c r="A34" s="33" t="s">
        <v>46</v>
      </c>
      <c r="B34" s="19">
        <v>4</v>
      </c>
      <c r="C34" s="17" t="s">
        <v>39</v>
      </c>
      <c r="E34" t="s">
        <v>185</v>
      </c>
      <c r="K34" s="8"/>
      <c r="M34" s="1" t="s">
        <v>133</v>
      </c>
      <c r="N34" s="1">
        <v>50</v>
      </c>
      <c r="O34" s="1">
        <v>0.8</v>
      </c>
    </row>
    <row r="35" spans="1:15" x14ac:dyDescent="0.25">
      <c r="A35" s="33" t="s">
        <v>45</v>
      </c>
      <c r="B35" s="19">
        <v>2.5</v>
      </c>
      <c r="C35" s="17" t="s">
        <v>39</v>
      </c>
      <c r="E35" t="s">
        <v>186</v>
      </c>
      <c r="K35" s="8"/>
      <c r="M35" s="1" t="s">
        <v>134</v>
      </c>
      <c r="N35" s="1">
        <v>60</v>
      </c>
      <c r="O35" s="1">
        <v>1</v>
      </c>
    </row>
    <row r="36" spans="1:15" x14ac:dyDescent="0.25">
      <c r="A36" s="33" t="s">
        <v>98</v>
      </c>
      <c r="B36" s="34">
        <f>2*B35+(B43-1)*B45+B44*B43</f>
        <v>57</v>
      </c>
      <c r="C36" s="17" t="s">
        <v>39</v>
      </c>
      <c r="D36" s="48"/>
      <c r="E36" t="s">
        <v>157</v>
      </c>
      <c r="K36" s="8"/>
      <c r="M36" s="1" t="s">
        <v>135</v>
      </c>
      <c r="N36" s="1">
        <v>70</v>
      </c>
      <c r="O36" s="1">
        <v>1.2</v>
      </c>
    </row>
    <row r="37" spans="1:15" x14ac:dyDescent="0.25">
      <c r="A37" s="79"/>
      <c r="C37" s="17"/>
      <c r="K37" s="8"/>
      <c r="M37" s="137" t="s">
        <v>130</v>
      </c>
      <c r="N37" s="138"/>
      <c r="O37" s="139"/>
    </row>
    <row r="38" spans="1:15" x14ac:dyDescent="0.25">
      <c r="A38" s="73" t="s">
        <v>158</v>
      </c>
      <c r="B38" s="74"/>
      <c r="C38" s="74"/>
      <c r="D38" s="75"/>
      <c r="E38" s="76"/>
      <c r="F38" s="77"/>
      <c r="G38" s="77"/>
      <c r="H38" s="77"/>
      <c r="I38" s="77"/>
      <c r="J38" s="77"/>
      <c r="K38" s="78"/>
      <c r="M38" s="143"/>
      <c r="N38" s="144"/>
      <c r="O38" s="145"/>
    </row>
    <row r="39" spans="1:15" x14ac:dyDescent="0.25">
      <c r="A39" s="3"/>
      <c r="B39" s="4"/>
      <c r="C39" s="4"/>
      <c r="D39" s="4"/>
      <c r="E39" s="4"/>
      <c r="F39" s="4"/>
      <c r="G39" s="4"/>
      <c r="H39" s="4"/>
      <c r="I39" s="4"/>
      <c r="J39" s="4"/>
      <c r="K39" s="5"/>
    </row>
    <row r="40" spans="1:15" x14ac:dyDescent="0.25">
      <c r="A40" s="33" t="s">
        <v>162</v>
      </c>
      <c r="B40" s="34">
        <f>B31-2*B34</f>
        <v>392</v>
      </c>
      <c r="C40" s="17" t="s">
        <v>39</v>
      </c>
      <c r="E40" t="s">
        <v>164</v>
      </c>
      <c r="K40" s="8"/>
    </row>
    <row r="41" spans="1:15" x14ac:dyDescent="0.25">
      <c r="A41" s="33" t="s">
        <v>163</v>
      </c>
      <c r="B41" s="34">
        <f>B32-2*B34</f>
        <v>492</v>
      </c>
      <c r="C41" s="17" t="s">
        <v>39</v>
      </c>
      <c r="E41" t="s">
        <v>165</v>
      </c>
      <c r="K41" s="8"/>
    </row>
    <row r="42" spans="1:15" ht="18" x14ac:dyDescent="0.35">
      <c r="A42" s="33" t="s">
        <v>207</v>
      </c>
      <c r="B42" s="34">
        <f>B40*B33/B31</f>
        <v>9.8000000000000007</v>
      </c>
      <c r="C42" s="17" t="s">
        <v>39</v>
      </c>
      <c r="E42" t="s">
        <v>80</v>
      </c>
      <c r="K42" s="8"/>
    </row>
    <row r="43" spans="1:15" x14ac:dyDescent="0.25">
      <c r="A43" s="33" t="s">
        <v>38</v>
      </c>
      <c r="B43" s="19">
        <v>4</v>
      </c>
      <c r="C43" s="17" t="s">
        <v>100</v>
      </c>
      <c r="E43" t="s">
        <v>187</v>
      </c>
      <c r="K43" s="8"/>
    </row>
    <row r="44" spans="1:15" x14ac:dyDescent="0.25">
      <c r="A44" s="33" t="s">
        <v>161</v>
      </c>
      <c r="B44" s="19">
        <v>4</v>
      </c>
      <c r="C44" s="17" t="s">
        <v>39</v>
      </c>
      <c r="E44" t="s">
        <v>41</v>
      </c>
      <c r="K44" s="8"/>
      <c r="M44" s="132" t="s">
        <v>91</v>
      </c>
      <c r="N44" s="133"/>
    </row>
    <row r="45" spans="1:15" x14ac:dyDescent="0.25">
      <c r="A45" s="33" t="s">
        <v>160</v>
      </c>
      <c r="B45" s="19">
        <v>12</v>
      </c>
      <c r="C45" s="17" t="s">
        <v>39</v>
      </c>
      <c r="D45" s="48"/>
      <c r="E45" t="s">
        <v>40</v>
      </c>
      <c r="K45" s="8"/>
      <c r="M45" s="66" t="s">
        <v>58</v>
      </c>
      <c r="N45" s="66" t="s">
        <v>57</v>
      </c>
    </row>
    <row r="46" spans="1:15" x14ac:dyDescent="0.25">
      <c r="A46" s="33" t="s">
        <v>92</v>
      </c>
      <c r="B46" s="34">
        <f>VLOOKUP(D28,M46:N47,2,FALSE)</f>
        <v>1950</v>
      </c>
      <c r="C46" s="17" t="s">
        <v>94</v>
      </c>
      <c r="D46" s="48"/>
      <c r="E46" t="s">
        <v>81</v>
      </c>
      <c r="K46" s="8"/>
      <c r="M46" s="1" t="s">
        <v>60</v>
      </c>
      <c r="N46" s="1">
        <f>(B31-B33)*B32/100</f>
        <v>1950</v>
      </c>
    </row>
    <row r="47" spans="1:15" x14ac:dyDescent="0.25">
      <c r="A47" s="15"/>
      <c r="B47" s="7"/>
      <c r="C47" s="7"/>
      <c r="D47" s="7"/>
      <c r="E47" s="7"/>
      <c r="F47" s="7"/>
      <c r="G47" s="7"/>
      <c r="H47" s="7"/>
      <c r="I47" s="7"/>
      <c r="J47" s="7"/>
      <c r="K47" s="16"/>
      <c r="M47" s="1" t="s">
        <v>59</v>
      </c>
      <c r="N47" s="1">
        <f>B16/(1+B31/B32)/10</f>
        <v>21.666666666666664</v>
      </c>
      <c r="O47" t="s">
        <v>90</v>
      </c>
    </row>
    <row r="52" spans="1:16" x14ac:dyDescent="0.25">
      <c r="K52" s="102"/>
      <c r="L52" s="102"/>
      <c r="M52" s="102"/>
    </row>
    <row r="53" spans="1:16" x14ac:dyDescent="0.25">
      <c r="K53" s="102"/>
      <c r="L53" s="102"/>
      <c r="M53" s="102"/>
    </row>
    <row r="54" spans="1:16" x14ac:dyDescent="0.25">
      <c r="K54" s="102"/>
      <c r="L54" s="102"/>
      <c r="M54" s="102"/>
    </row>
    <row r="55" spans="1:16" x14ac:dyDescent="0.25">
      <c r="J55" s="102"/>
      <c r="K55" s="102"/>
      <c r="L55" s="102"/>
      <c r="M55" s="102"/>
      <c r="N55" s="102"/>
      <c r="O55" s="102"/>
      <c r="P55" s="102"/>
    </row>
    <row r="56" spans="1:16" x14ac:dyDescent="0.25">
      <c r="J56" s="102"/>
      <c r="K56" s="102"/>
      <c r="L56" s="102"/>
      <c r="M56" s="102"/>
      <c r="N56" s="102"/>
      <c r="O56" s="102"/>
      <c r="P56" s="102"/>
    </row>
    <row r="57" spans="1:16" x14ac:dyDescent="0.25">
      <c r="K57" s="102"/>
      <c r="L57" s="102"/>
      <c r="M57" s="102"/>
    </row>
    <row r="58" spans="1:16" x14ac:dyDescent="0.25">
      <c r="K58" s="102"/>
      <c r="L58" s="102"/>
      <c r="M58" s="102"/>
    </row>
    <row r="59" spans="1:16" x14ac:dyDescent="0.25">
      <c r="K59" s="102"/>
      <c r="L59" s="102"/>
      <c r="M59" s="102"/>
    </row>
    <row r="60" spans="1:16" x14ac:dyDescent="0.25">
      <c r="M60" s="17"/>
      <c r="N60" s="17"/>
    </row>
    <row r="61" spans="1:16" x14ac:dyDescent="0.25">
      <c r="M61" s="17"/>
      <c r="N61" s="17"/>
    </row>
    <row r="62" spans="1:16" x14ac:dyDescent="0.25">
      <c r="M62" s="17"/>
      <c r="N62" s="17"/>
    </row>
    <row r="64" spans="1:16" x14ac:dyDescent="0.25">
      <c r="A64" s="127" t="s">
        <v>29</v>
      </c>
      <c r="B64" s="128"/>
    </row>
    <row r="65" spans="1:31" ht="14.25" customHeight="1" x14ac:dyDescent="0.25">
      <c r="A65" s="60" t="s">
        <v>65</v>
      </c>
      <c r="B65" s="27"/>
      <c r="C65" s="27"/>
      <c r="D65" s="53"/>
      <c r="E65" s="61"/>
      <c r="F65" s="52"/>
      <c r="G65" s="52"/>
      <c r="H65" s="52"/>
      <c r="I65" s="54"/>
      <c r="J65" s="52"/>
      <c r="K65" s="54"/>
      <c r="M65" s="146" t="s">
        <v>56</v>
      </c>
      <c r="N65" s="146"/>
      <c r="O65" s="146"/>
    </row>
    <row r="66" spans="1:31" x14ac:dyDescent="0.25">
      <c r="A66" s="3"/>
      <c r="B66" s="4"/>
      <c r="C66" s="4"/>
      <c r="D66" s="4"/>
      <c r="E66" s="4"/>
      <c r="F66" s="4"/>
      <c r="G66" s="4"/>
      <c r="H66" s="4"/>
      <c r="I66" s="5"/>
      <c r="J66" s="4"/>
      <c r="K66" s="5"/>
      <c r="M66" s="63" t="s">
        <v>58</v>
      </c>
      <c r="N66" s="63" t="s">
        <v>61</v>
      </c>
      <c r="O66" s="63" t="s">
        <v>57</v>
      </c>
    </row>
    <row r="67" spans="1:31" ht="18" x14ac:dyDescent="0.35">
      <c r="A67" s="18" t="s">
        <v>109</v>
      </c>
      <c r="B67" s="34">
        <f>IF(D28=M67,O67,IF(B31&lt;=N68,O68,IF(B31&lt;=N69,O69,IF(B31&lt;=N70,O70,O71))))</f>
        <v>15</v>
      </c>
      <c r="C67" s="17" t="s">
        <v>20</v>
      </c>
      <c r="D67" s="17" t="s">
        <v>53</v>
      </c>
      <c r="E67" t="s">
        <v>55</v>
      </c>
      <c r="I67" s="8"/>
      <c r="K67" s="8"/>
      <c r="M67" s="1" t="s">
        <v>59</v>
      </c>
      <c r="N67" s="1" t="s">
        <v>24</v>
      </c>
      <c r="O67" s="1">
        <v>7</v>
      </c>
    </row>
    <row r="68" spans="1:31" ht="18" x14ac:dyDescent="0.35">
      <c r="A68" s="18" t="s">
        <v>54</v>
      </c>
      <c r="B68" s="34">
        <f>B15/(B31*B32)*10^3</f>
        <v>3.5</v>
      </c>
      <c r="C68" s="17" t="s">
        <v>20</v>
      </c>
      <c r="D68" s="17" t="s">
        <v>53</v>
      </c>
      <c r="E68" s="99" t="s">
        <v>52</v>
      </c>
      <c r="I68" s="8"/>
      <c r="K68" s="8"/>
      <c r="M68" s="1" t="s">
        <v>60</v>
      </c>
      <c r="N68" s="1">
        <v>150</v>
      </c>
      <c r="O68" s="1">
        <v>8</v>
      </c>
    </row>
    <row r="69" spans="1:31" x14ac:dyDescent="0.25">
      <c r="A69" s="18"/>
      <c r="D69" s="17"/>
      <c r="E69" s="99"/>
      <c r="I69" s="8"/>
      <c r="K69" s="8"/>
      <c r="M69" s="1" t="s">
        <v>60</v>
      </c>
      <c r="N69" s="1">
        <v>200</v>
      </c>
      <c r="O69" s="1">
        <v>11</v>
      </c>
    </row>
    <row r="70" spans="1:31" ht="18" x14ac:dyDescent="0.35">
      <c r="A70" s="18"/>
      <c r="D70" s="17"/>
      <c r="E70" s="56" t="s">
        <v>111</v>
      </c>
      <c r="F70" s="115">
        <f>B68/B67</f>
        <v>0.23333333333333334</v>
      </c>
      <c r="G70" s="115"/>
      <c r="I70" s="8"/>
      <c r="K70" s="8"/>
      <c r="M70" s="1" t="s">
        <v>60</v>
      </c>
      <c r="N70" s="1">
        <v>300</v>
      </c>
      <c r="O70" s="1">
        <v>12.5</v>
      </c>
      <c r="AE70" s="8"/>
    </row>
    <row r="71" spans="1:31" x14ac:dyDescent="0.25">
      <c r="A71" s="15"/>
      <c r="B71" s="7"/>
      <c r="C71" s="7"/>
      <c r="D71" s="7"/>
      <c r="E71" s="7"/>
      <c r="F71" s="7"/>
      <c r="G71" s="7"/>
      <c r="H71" s="7"/>
      <c r="I71" s="16"/>
      <c r="J71" s="7"/>
      <c r="K71" s="16"/>
      <c r="M71" s="1" t="s">
        <v>60</v>
      </c>
      <c r="N71" s="1">
        <v>300</v>
      </c>
      <c r="O71" s="1">
        <v>15</v>
      </c>
      <c r="AE71" s="8"/>
    </row>
    <row r="72" spans="1:31" x14ac:dyDescent="0.25">
      <c r="A72" s="60" t="s">
        <v>73</v>
      </c>
      <c r="B72" s="27"/>
      <c r="C72" s="27"/>
      <c r="D72" s="53"/>
      <c r="E72" s="61"/>
      <c r="F72" s="52"/>
      <c r="G72" s="52"/>
      <c r="H72" s="52"/>
      <c r="I72" s="54"/>
      <c r="J72" s="52"/>
      <c r="K72" s="54"/>
      <c r="M72" s="137" t="s">
        <v>66</v>
      </c>
      <c r="N72" s="138"/>
      <c r="O72" s="139"/>
      <c r="AE72" s="8"/>
    </row>
    <row r="73" spans="1:31" x14ac:dyDescent="0.25">
      <c r="A73" s="3"/>
      <c r="B73" s="4"/>
      <c r="C73" s="4"/>
      <c r="D73" s="4"/>
      <c r="E73" s="4"/>
      <c r="F73" s="4"/>
      <c r="G73" s="4"/>
      <c r="H73" s="4"/>
      <c r="I73" s="5"/>
      <c r="J73" s="4"/>
      <c r="K73" s="5"/>
      <c r="M73" s="143"/>
      <c r="N73" s="144"/>
      <c r="O73" s="145"/>
      <c r="AE73" s="8"/>
    </row>
    <row r="74" spans="1:31" x14ac:dyDescent="0.25">
      <c r="A74" s="18" t="s">
        <v>76</v>
      </c>
      <c r="B74" s="34">
        <f>0.1 + 0.6/B75</f>
        <v>0.26714285714285713</v>
      </c>
      <c r="C74" s="17" t="s">
        <v>24</v>
      </c>
      <c r="D74" s="17" t="s">
        <v>77</v>
      </c>
      <c r="E74" t="s">
        <v>78</v>
      </c>
      <c r="I74" s="8"/>
      <c r="K74" s="8"/>
      <c r="M74" s="29"/>
    </row>
    <row r="75" spans="1:31" ht="18" x14ac:dyDescent="0.35">
      <c r="A75" s="18" t="s">
        <v>74</v>
      </c>
      <c r="B75" s="34">
        <f>MAX(N76:N77)</f>
        <v>3.5897435897435899</v>
      </c>
      <c r="C75" s="17" t="s">
        <v>20</v>
      </c>
      <c r="D75" s="17" t="s">
        <v>77</v>
      </c>
      <c r="E75" s="99" t="s">
        <v>75</v>
      </c>
      <c r="I75" s="8"/>
      <c r="K75" s="8"/>
      <c r="M75" s="63" t="s">
        <v>112</v>
      </c>
      <c r="N75" s="63" t="s">
        <v>57</v>
      </c>
      <c r="O75" s="63" t="s">
        <v>95</v>
      </c>
    </row>
    <row r="76" spans="1:31" ht="18" x14ac:dyDescent="0.35">
      <c r="A76" s="18" t="s">
        <v>93</v>
      </c>
      <c r="B76" s="34">
        <f>B13*B74</f>
        <v>160.28571428571428</v>
      </c>
      <c r="C76" s="17" t="s">
        <v>35</v>
      </c>
      <c r="D76" s="17" t="s">
        <v>77</v>
      </c>
      <c r="E76" t="s">
        <v>196</v>
      </c>
      <c r="I76" s="8"/>
      <c r="K76" s="8"/>
      <c r="M76" s="1" t="s">
        <v>86</v>
      </c>
      <c r="N76" s="30">
        <f>B13/B46*10</f>
        <v>3.0769230769230771</v>
      </c>
      <c r="O76" s="30">
        <f>B19</f>
        <v>80</v>
      </c>
    </row>
    <row r="77" spans="1:31" x14ac:dyDescent="0.25">
      <c r="A77" s="6"/>
      <c r="B77" s="113" t="str">
        <f>IF(B76&gt;VLOOKUP(B75,N76:O77,2,FALSE),"Verificado","Deslocamento Excessivo")</f>
        <v>Verificado</v>
      </c>
      <c r="C77" s="114"/>
      <c r="I77" s="8"/>
      <c r="K77" s="8"/>
      <c r="M77" s="1" t="s">
        <v>87</v>
      </c>
      <c r="N77" s="30">
        <f>B15/B46*10</f>
        <v>3.5897435897435899</v>
      </c>
      <c r="O77" s="30">
        <f>SUM(B19:B20)</f>
        <v>110</v>
      </c>
    </row>
    <row r="78" spans="1:31" x14ac:dyDescent="0.25">
      <c r="A78" s="6"/>
      <c r="C78" s="17"/>
      <c r="I78" s="8"/>
      <c r="K78" s="8"/>
    </row>
    <row r="79" spans="1:31" ht="18" x14ac:dyDescent="0.35">
      <c r="A79" s="18"/>
      <c r="C79" s="17"/>
      <c r="E79" s="56" t="s">
        <v>110</v>
      </c>
      <c r="F79" s="115">
        <f>VLOOKUP(B75,N76:O77,2,FALSE)/B76</f>
        <v>0.68627450980392157</v>
      </c>
      <c r="G79" s="115"/>
      <c r="I79" s="8"/>
      <c r="K79" s="8"/>
    </row>
    <row r="80" spans="1:31" x14ac:dyDescent="0.25">
      <c r="A80" s="15"/>
      <c r="B80" s="7"/>
      <c r="C80" s="7"/>
      <c r="D80" s="7"/>
      <c r="E80" s="7"/>
      <c r="F80" s="7"/>
      <c r="G80" s="7"/>
      <c r="H80" s="7"/>
      <c r="I80" s="16"/>
      <c r="J80" s="7"/>
      <c r="K80" s="16"/>
    </row>
    <row r="81" spans="1:17" x14ac:dyDescent="0.25">
      <c r="A81" s="60" t="s">
        <v>103</v>
      </c>
      <c r="B81" s="27"/>
      <c r="C81" s="27"/>
      <c r="D81" s="53"/>
      <c r="E81" s="61"/>
      <c r="F81" s="52"/>
      <c r="G81" s="52"/>
      <c r="H81" s="52"/>
      <c r="I81" s="54"/>
      <c r="J81" s="52"/>
      <c r="K81" s="54"/>
    </row>
    <row r="82" spans="1:17" x14ac:dyDescent="0.25">
      <c r="A82" s="3"/>
      <c r="B82" s="4"/>
      <c r="C82" s="4"/>
      <c r="D82" s="4"/>
      <c r="E82" s="4"/>
      <c r="F82" s="4"/>
      <c r="G82" s="4"/>
      <c r="H82" s="4"/>
      <c r="I82" s="5"/>
      <c r="J82" s="4"/>
      <c r="K82" s="5"/>
    </row>
    <row r="83" spans="1:17" ht="18" x14ac:dyDescent="0.35">
      <c r="A83" s="18" t="s">
        <v>97</v>
      </c>
      <c r="B83" s="34">
        <f>0.5*B36</f>
        <v>28.5</v>
      </c>
      <c r="C83" s="17" t="s">
        <v>39</v>
      </c>
      <c r="D83" s="17" t="s">
        <v>188</v>
      </c>
      <c r="E83" t="s">
        <v>203</v>
      </c>
      <c r="I83" s="8"/>
      <c r="K83" s="8"/>
    </row>
    <row r="84" spans="1:17" ht="18" x14ac:dyDescent="0.35">
      <c r="A84" s="18" t="s">
        <v>105</v>
      </c>
      <c r="B84" s="34">
        <f>B19/(B25*B40*B41)*(B43-1)*B45*10^3</f>
        <v>18.666002986560478</v>
      </c>
      <c r="C84" s="17" t="s">
        <v>39</v>
      </c>
      <c r="D84" s="17" t="s">
        <v>202</v>
      </c>
      <c r="E84" t="s">
        <v>204</v>
      </c>
      <c r="I84" s="8"/>
      <c r="K84" s="8"/>
    </row>
    <row r="85" spans="1:17" ht="18" x14ac:dyDescent="0.35">
      <c r="A85" s="18" t="s">
        <v>104</v>
      </c>
      <c r="B85" s="62">
        <f>B20/(2*B25*B40*B41)*(B43-1)*B45*10^3</f>
        <v>3.4998755599800897</v>
      </c>
      <c r="C85" s="17" t="s">
        <v>39</v>
      </c>
      <c r="D85" s="17" t="s">
        <v>202</v>
      </c>
      <c r="E85" t="s">
        <v>205</v>
      </c>
      <c r="I85" s="8"/>
      <c r="K85" s="8"/>
    </row>
    <row r="86" spans="1:17" x14ac:dyDescent="0.25">
      <c r="A86" s="18" t="s">
        <v>96</v>
      </c>
      <c r="B86" s="62">
        <f>SUM(B84:B85)</f>
        <v>22.165878546540569</v>
      </c>
      <c r="C86" s="17" t="s">
        <v>39</v>
      </c>
      <c r="D86" s="17" t="s">
        <v>202</v>
      </c>
      <c r="E86" t="s">
        <v>205</v>
      </c>
      <c r="I86" s="8"/>
      <c r="K86" s="8"/>
    </row>
    <row r="87" spans="1:17" x14ac:dyDescent="0.25">
      <c r="A87" s="6"/>
      <c r="B87" s="113" t="str">
        <f>IF(B86&lt;B83,"Verificado","Deslocamento Excessivo")</f>
        <v>Verificado</v>
      </c>
      <c r="C87" s="114"/>
      <c r="I87" s="8"/>
      <c r="K87" s="8"/>
    </row>
    <row r="88" spans="1:17" x14ac:dyDescent="0.25">
      <c r="A88" s="6"/>
      <c r="E88" s="56" t="s">
        <v>107</v>
      </c>
      <c r="F88" s="115">
        <f>B86/B83</f>
        <v>0.7777501244400199</v>
      </c>
      <c r="G88" s="115"/>
      <c r="I88" s="8"/>
      <c r="K88" s="8"/>
    </row>
    <row r="89" spans="1:17" x14ac:dyDescent="0.25">
      <c r="A89" s="15"/>
      <c r="B89" s="7"/>
      <c r="C89" s="7"/>
      <c r="D89" s="7"/>
      <c r="E89" s="7"/>
      <c r="F89" s="7"/>
      <c r="G89" s="7"/>
      <c r="H89" s="7"/>
      <c r="I89" s="16"/>
      <c r="J89" s="7"/>
      <c r="K89" s="16"/>
    </row>
    <row r="90" spans="1:17" ht="15.75" x14ac:dyDescent="0.25">
      <c r="A90" s="60" t="s">
        <v>125</v>
      </c>
      <c r="B90" s="27"/>
      <c r="C90" s="27"/>
      <c r="D90" s="53"/>
      <c r="E90" s="61"/>
      <c r="F90" s="52"/>
      <c r="G90" s="52"/>
      <c r="H90" s="52"/>
      <c r="I90" s="54"/>
      <c r="J90" s="52"/>
      <c r="K90" s="54"/>
      <c r="M90" s="121" t="s">
        <v>208</v>
      </c>
      <c r="N90" s="122"/>
      <c r="O90" s="122"/>
      <c r="P90" s="122"/>
      <c r="Q90" s="123"/>
    </row>
    <row r="91" spans="1:17" ht="15" customHeight="1" x14ac:dyDescent="0.25">
      <c r="A91" s="3"/>
      <c r="B91" s="4"/>
      <c r="C91" s="4"/>
      <c r="D91" s="4"/>
      <c r="E91" s="4"/>
      <c r="F91" s="4"/>
      <c r="G91" s="4"/>
      <c r="H91" s="4"/>
      <c r="I91" s="5"/>
      <c r="J91" s="4"/>
      <c r="K91" s="5"/>
      <c r="M91" s="137" t="s">
        <v>209</v>
      </c>
      <c r="N91" s="138"/>
      <c r="O91" s="138"/>
      <c r="P91" s="138"/>
      <c r="Q91" s="139"/>
    </row>
    <row r="92" spans="1:17" ht="18" x14ac:dyDescent="0.35">
      <c r="A92" s="18" t="s">
        <v>118</v>
      </c>
      <c r="B92" s="34">
        <f>0.15*B36</f>
        <v>8.5499999999999989</v>
      </c>
      <c r="C92" s="17" t="s">
        <v>39</v>
      </c>
      <c r="D92" s="17" t="s">
        <v>117</v>
      </c>
      <c r="E92" s="99" t="s">
        <v>119</v>
      </c>
      <c r="I92" s="8"/>
      <c r="K92" s="8"/>
      <c r="M92" s="140"/>
      <c r="N92" s="141"/>
      <c r="O92" s="141"/>
      <c r="P92" s="141"/>
      <c r="Q92" s="142"/>
    </row>
    <row r="93" spans="1:17" x14ac:dyDescent="0.25">
      <c r="A93" s="18"/>
      <c r="C93" s="17"/>
      <c r="D93" s="17"/>
      <c r="E93" s="99"/>
      <c r="I93" s="8"/>
      <c r="K93" s="8"/>
      <c r="M93" s="140"/>
      <c r="N93" s="141"/>
      <c r="O93" s="141"/>
      <c r="P93" s="141"/>
      <c r="Q93" s="142"/>
    </row>
    <row r="94" spans="1:17" ht="18" x14ac:dyDescent="0.35">
      <c r="A94" s="18" t="s">
        <v>153</v>
      </c>
      <c r="B94" s="34">
        <f>B13/((B40-B42)*B41)*10^3</f>
        <v>3.1907697412923892</v>
      </c>
      <c r="C94" s="17" t="s">
        <v>20</v>
      </c>
      <c r="D94" s="17" t="s">
        <v>206</v>
      </c>
      <c r="E94" s="99" t="s">
        <v>114</v>
      </c>
      <c r="I94" s="8"/>
      <c r="K94" s="8"/>
      <c r="M94" s="140"/>
      <c r="N94" s="141"/>
      <c r="O94" s="141"/>
      <c r="P94" s="141"/>
      <c r="Q94" s="142"/>
    </row>
    <row r="95" spans="1:17" ht="18" x14ac:dyDescent="0.35">
      <c r="A95" s="18" t="s">
        <v>113</v>
      </c>
      <c r="B95" s="34">
        <f>B14/((B40-B42)*B41)*10^3</f>
        <v>0.53179495688206491</v>
      </c>
      <c r="C95" s="17" t="s">
        <v>20</v>
      </c>
      <c r="D95" s="17" t="s">
        <v>206</v>
      </c>
      <c r="E95" s="99" t="s">
        <v>115</v>
      </c>
      <c r="I95" s="8"/>
      <c r="K95" s="8"/>
      <c r="M95" s="143"/>
      <c r="N95" s="144"/>
      <c r="O95" s="144"/>
      <c r="P95" s="144"/>
      <c r="Q95" s="145"/>
    </row>
    <row r="96" spans="1:17" x14ac:dyDescent="0.25">
      <c r="A96" s="18" t="s">
        <v>166</v>
      </c>
      <c r="B96" s="34">
        <f>B40*B41/(2*B45*(B40+B41))</f>
        <v>9.0904977375565608</v>
      </c>
      <c r="C96" s="17" t="s">
        <v>24</v>
      </c>
      <c r="D96" s="17" t="s">
        <v>206</v>
      </c>
      <c r="E96" s="99" t="s">
        <v>126</v>
      </c>
      <c r="I96" s="8"/>
      <c r="K96" s="8"/>
    </row>
    <row r="97" spans="1:12" x14ac:dyDescent="0.25">
      <c r="A97" s="18" t="s">
        <v>116</v>
      </c>
      <c r="B97" s="34">
        <f>(B94+B95)/(B7*B25*B96+B8*(B94+B95))*(B43-1)*B45</f>
        <v>3.3288961975493887</v>
      </c>
      <c r="C97" s="17" t="s">
        <v>39</v>
      </c>
      <c r="D97" s="17" t="s">
        <v>117</v>
      </c>
      <c r="E97" s="99" t="s">
        <v>119</v>
      </c>
      <c r="I97" s="8"/>
      <c r="K97" s="8"/>
    </row>
    <row r="98" spans="1:12" x14ac:dyDescent="0.25">
      <c r="A98" s="6"/>
      <c r="B98" s="113" t="str">
        <f>IF(B97&lt;B92,"Verificado","Deslocamento Excessivo")</f>
        <v>Verificado</v>
      </c>
      <c r="C98" s="114"/>
      <c r="I98" s="8"/>
      <c r="K98" s="8"/>
    </row>
    <row r="99" spans="1:12" x14ac:dyDescent="0.25">
      <c r="A99" s="6"/>
      <c r="I99" s="8"/>
      <c r="K99" s="8"/>
    </row>
    <row r="100" spans="1:12" x14ac:dyDescent="0.25">
      <c r="A100" s="6"/>
      <c r="E100" s="56" t="s">
        <v>122</v>
      </c>
      <c r="F100" s="115">
        <f>B97/B92</f>
        <v>0.38934458450870046</v>
      </c>
      <c r="G100" s="115"/>
      <c r="I100" s="8"/>
      <c r="K100" s="8"/>
    </row>
    <row r="101" spans="1:12" x14ac:dyDescent="0.25">
      <c r="A101" s="15"/>
      <c r="B101" s="7"/>
      <c r="C101" s="7"/>
      <c r="D101" s="7"/>
      <c r="E101" s="7"/>
      <c r="F101" s="7"/>
      <c r="G101" s="7"/>
      <c r="H101" s="7"/>
      <c r="I101" s="16"/>
      <c r="J101" s="7"/>
      <c r="K101" s="16"/>
    </row>
    <row r="102" spans="1:12" x14ac:dyDescent="0.25">
      <c r="A102" s="60" t="s">
        <v>151</v>
      </c>
      <c r="B102" s="27"/>
      <c r="C102" s="27"/>
      <c r="D102" s="53"/>
      <c r="E102" s="61"/>
      <c r="F102" s="52"/>
      <c r="G102" s="52"/>
      <c r="H102" s="52"/>
      <c r="I102" s="54"/>
      <c r="J102" s="52"/>
      <c r="K102" s="54"/>
    </row>
    <row r="103" spans="1:12" x14ac:dyDescent="0.25">
      <c r="A103" s="67" t="s">
        <v>152</v>
      </c>
      <c r="B103" s="68"/>
      <c r="C103" s="68"/>
      <c r="D103" s="69"/>
      <c r="E103" s="70"/>
      <c r="F103" s="71"/>
      <c r="G103" s="71"/>
      <c r="H103" s="71"/>
      <c r="I103" s="72"/>
      <c r="J103" s="71"/>
      <c r="K103" s="72"/>
    </row>
    <row r="104" spans="1:12" x14ac:dyDescent="0.25">
      <c r="A104" s="3"/>
      <c r="B104" s="4"/>
      <c r="C104" s="4"/>
      <c r="D104" s="4"/>
      <c r="E104" s="4"/>
      <c r="F104" s="4"/>
      <c r="G104" s="4"/>
      <c r="H104" s="4"/>
      <c r="I104" s="5"/>
      <c r="J104" s="4"/>
      <c r="K104" s="5"/>
    </row>
    <row r="105" spans="1:12" ht="18" x14ac:dyDescent="0.35">
      <c r="A105" s="18" t="s">
        <v>153</v>
      </c>
      <c r="B105" s="34">
        <f>B13/((B40-B42)*B41)*10^3</f>
        <v>3.1907697412923892</v>
      </c>
      <c r="C105" s="17" t="s">
        <v>20</v>
      </c>
      <c r="D105" s="17" t="s">
        <v>206</v>
      </c>
      <c r="E105" s="99" t="s">
        <v>114</v>
      </c>
      <c r="I105" s="8"/>
      <c r="K105" s="8"/>
    </row>
    <row r="106" spans="1:12" x14ac:dyDescent="0.25">
      <c r="A106" s="18" t="s">
        <v>174</v>
      </c>
      <c r="B106" s="34">
        <f>B105/(4*B25*B96^2+3*(B105))</f>
        <v>1.164466963283913E-2</v>
      </c>
      <c r="C106" s="17" t="s">
        <v>24</v>
      </c>
      <c r="D106" s="17" t="s">
        <v>206</v>
      </c>
      <c r="E106" t="s">
        <v>176</v>
      </c>
      <c r="I106" s="8"/>
      <c r="K106" s="8"/>
    </row>
    <row r="107" spans="1:12" ht="18" x14ac:dyDescent="0.35">
      <c r="A107" s="18" t="s">
        <v>154</v>
      </c>
      <c r="B107" s="34">
        <f>6*B106*B45/B40*(B43-1)</f>
        <v>6.416450614013398E-3</v>
      </c>
      <c r="C107" s="17" t="s">
        <v>24</v>
      </c>
      <c r="D107" s="17" t="s">
        <v>206</v>
      </c>
      <c r="E107" t="s">
        <v>155</v>
      </c>
      <c r="I107" s="8"/>
      <c r="K107" s="8"/>
    </row>
    <row r="108" spans="1:12" x14ac:dyDescent="0.25">
      <c r="A108" s="18" t="s">
        <v>170</v>
      </c>
      <c r="B108" s="81">
        <f>ATAN(B107)</f>
        <v>6.4163625593046071E-3</v>
      </c>
      <c r="C108" s="17" t="s">
        <v>43</v>
      </c>
      <c r="D108" s="17"/>
      <c r="E108" t="s">
        <v>172</v>
      </c>
      <c r="I108" s="8"/>
      <c r="K108" s="8"/>
      <c r="L108" t="s">
        <v>173</v>
      </c>
    </row>
    <row r="109" spans="1:12" x14ac:dyDescent="0.25">
      <c r="A109" s="6"/>
      <c r="B109" s="113" t="str">
        <f>IF(B108&lt;B26,"Verificado","Rotação Excessivo")</f>
        <v>Verificado</v>
      </c>
      <c r="C109" s="114"/>
      <c r="I109" s="8"/>
      <c r="K109" s="8"/>
    </row>
    <row r="110" spans="1:12" x14ac:dyDescent="0.25">
      <c r="A110" s="6"/>
      <c r="I110" s="8"/>
      <c r="K110" s="8"/>
    </row>
    <row r="111" spans="1:12" x14ac:dyDescent="0.25">
      <c r="A111" s="6"/>
      <c r="E111" s="56" t="s">
        <v>175</v>
      </c>
      <c r="F111" s="115">
        <f>B108/B26</f>
        <v>0.6416362559304607</v>
      </c>
      <c r="G111" s="115"/>
      <c r="I111" s="8"/>
      <c r="K111" s="8"/>
    </row>
    <row r="112" spans="1:12" x14ac:dyDescent="0.25">
      <c r="A112" s="15"/>
      <c r="B112" s="7"/>
      <c r="C112" s="7"/>
      <c r="D112" s="7"/>
      <c r="E112" s="7"/>
      <c r="F112" s="7"/>
      <c r="G112" s="7"/>
      <c r="H112" s="7"/>
      <c r="I112" s="16"/>
      <c r="J112" s="7"/>
      <c r="K112" s="16"/>
    </row>
    <row r="113" spans="1:11" x14ac:dyDescent="0.25">
      <c r="A113" s="67" t="s">
        <v>156</v>
      </c>
      <c r="B113" s="68"/>
      <c r="C113" s="68"/>
      <c r="D113" s="69"/>
      <c r="E113" s="70"/>
      <c r="F113" s="71"/>
      <c r="G113" s="71"/>
      <c r="H113" s="71"/>
      <c r="I113" s="72"/>
      <c r="J113" s="71"/>
      <c r="K113" s="72"/>
    </row>
    <row r="114" spans="1:11" x14ac:dyDescent="0.25">
      <c r="A114" s="3"/>
      <c r="B114" s="4"/>
      <c r="C114" s="4"/>
      <c r="D114" s="4"/>
      <c r="E114" s="4"/>
      <c r="F114" s="4"/>
      <c r="G114" s="4"/>
      <c r="H114" s="4"/>
      <c r="I114" s="5"/>
      <c r="J114" s="4"/>
      <c r="K114" s="5"/>
    </row>
    <row r="115" spans="1:11" ht="18" x14ac:dyDescent="0.35">
      <c r="A115" s="18" t="s">
        <v>153</v>
      </c>
      <c r="B115" s="34">
        <f>B13/((B40-B42)*B41)*10^3</f>
        <v>3.1907697412923892</v>
      </c>
      <c r="C115" s="17" t="s">
        <v>20</v>
      </c>
      <c r="D115" s="17" t="s">
        <v>206</v>
      </c>
      <c r="E115" s="99" t="s">
        <v>114</v>
      </c>
      <c r="I115" s="8"/>
      <c r="K115" s="8"/>
    </row>
    <row r="116" spans="1:11" ht="18" x14ac:dyDescent="0.35">
      <c r="A116" s="18" t="s">
        <v>113</v>
      </c>
      <c r="B116" s="34">
        <f>B14/((B40-B42)*B41)*10^3</f>
        <v>0.53179495688206491</v>
      </c>
      <c r="C116" s="17" t="s">
        <v>20</v>
      </c>
      <c r="D116" s="17" t="s">
        <v>206</v>
      </c>
      <c r="E116" s="99" t="s">
        <v>115</v>
      </c>
      <c r="I116" s="8"/>
      <c r="K116" s="8"/>
    </row>
    <row r="117" spans="1:11" x14ac:dyDescent="0.25">
      <c r="A117" s="18" t="s">
        <v>174</v>
      </c>
      <c r="B117" s="34">
        <f>(B115+B116)/(4*B25*B96^2+3*(B115+B116))</f>
        <v>1.3506806753757927E-2</v>
      </c>
      <c r="C117" s="17" t="s">
        <v>24</v>
      </c>
      <c r="D117" s="17" t="s">
        <v>206</v>
      </c>
      <c r="E117" t="s">
        <v>176</v>
      </c>
      <c r="I117" s="8"/>
      <c r="K117" s="8"/>
    </row>
    <row r="118" spans="1:11" ht="18" x14ac:dyDescent="0.35">
      <c r="A118" s="18" t="s">
        <v>195</v>
      </c>
      <c r="B118" s="34">
        <f>6*B117*B45/B40*(B43-1)</f>
        <v>7.4425261704380418E-3</v>
      </c>
      <c r="C118" s="17" t="s">
        <v>24</v>
      </c>
      <c r="D118" s="17" t="s">
        <v>206</v>
      </c>
      <c r="E118" t="s">
        <v>155</v>
      </c>
      <c r="I118" s="8"/>
      <c r="K118" s="8"/>
    </row>
    <row r="119" spans="1:11" x14ac:dyDescent="0.25">
      <c r="A119" s="18" t="s">
        <v>170</v>
      </c>
      <c r="B119" s="81">
        <f>ATAN(B118)</f>
        <v>7.4423887581967583E-3</v>
      </c>
      <c r="C119" s="17" t="s">
        <v>43</v>
      </c>
      <c r="D119" s="17"/>
      <c r="E119" t="s">
        <v>172</v>
      </c>
      <c r="I119" s="8"/>
      <c r="K119" s="8"/>
    </row>
    <row r="120" spans="1:11" x14ac:dyDescent="0.25">
      <c r="A120" s="6"/>
      <c r="B120" s="113" t="str">
        <f>IF(B119&lt;B26,"Verificado","Rotação Excessivo")</f>
        <v>Verificado</v>
      </c>
      <c r="C120" s="114"/>
      <c r="I120" s="8"/>
      <c r="K120" s="8"/>
    </row>
    <row r="121" spans="1:11" x14ac:dyDescent="0.25">
      <c r="A121" s="6"/>
      <c r="I121" s="8"/>
      <c r="K121" s="8"/>
    </row>
    <row r="122" spans="1:11" x14ac:dyDescent="0.25">
      <c r="A122" s="6"/>
      <c r="E122" s="56" t="s">
        <v>175</v>
      </c>
      <c r="F122" s="115">
        <f>B119/B26</f>
        <v>0.74423887581967585</v>
      </c>
      <c r="G122" s="115"/>
      <c r="I122" s="8"/>
      <c r="K122" s="8"/>
    </row>
    <row r="123" spans="1:11" x14ac:dyDescent="0.25">
      <c r="A123" s="15"/>
      <c r="B123" s="7"/>
      <c r="C123" s="7"/>
      <c r="D123" s="7"/>
      <c r="E123" s="7"/>
      <c r="F123" s="7"/>
      <c r="G123" s="7"/>
      <c r="H123" s="7"/>
      <c r="I123" s="16"/>
      <c r="J123" s="7"/>
      <c r="K123" s="16"/>
    </row>
    <row r="124" spans="1:11" x14ac:dyDescent="0.25">
      <c r="A124" s="60" t="s">
        <v>192</v>
      </c>
      <c r="B124" s="27"/>
      <c r="C124" s="27"/>
      <c r="D124" s="53"/>
      <c r="E124" s="61"/>
      <c r="F124" s="52"/>
      <c r="G124" s="52"/>
      <c r="H124" s="52"/>
      <c r="I124" s="54"/>
      <c r="J124" s="52"/>
      <c r="K124" s="54"/>
    </row>
    <row r="125" spans="1:11" x14ac:dyDescent="0.25">
      <c r="A125" s="67" t="s">
        <v>193</v>
      </c>
      <c r="B125" s="68"/>
      <c r="C125" s="68"/>
      <c r="D125" s="69"/>
      <c r="E125" s="70"/>
      <c r="F125" s="71"/>
      <c r="G125" s="71"/>
      <c r="H125" s="71"/>
      <c r="I125" s="72"/>
      <c r="J125" s="71"/>
      <c r="K125" s="72"/>
    </row>
    <row r="126" spans="1:11" x14ac:dyDescent="0.25">
      <c r="A126" s="3"/>
      <c r="B126" s="4"/>
      <c r="C126" s="4"/>
      <c r="D126" s="4"/>
      <c r="E126" s="4"/>
      <c r="F126" s="4"/>
      <c r="G126" s="4"/>
      <c r="H126" s="4"/>
      <c r="I126" s="4"/>
      <c r="J126" s="3"/>
      <c r="K126" s="5"/>
    </row>
    <row r="127" spans="1:11" ht="18" x14ac:dyDescent="0.35">
      <c r="A127" s="18" t="s">
        <v>144</v>
      </c>
      <c r="B127" s="34">
        <f>5*B25</f>
        <v>4</v>
      </c>
      <c r="C127" s="17" t="s">
        <v>20</v>
      </c>
      <c r="D127" s="17" t="s">
        <v>143</v>
      </c>
      <c r="E127" t="s">
        <v>198</v>
      </c>
      <c r="J127" s="6"/>
      <c r="K127" s="8"/>
    </row>
    <row r="128" spans="1:11" x14ac:dyDescent="0.25">
      <c r="A128" s="6"/>
      <c r="J128" s="6"/>
      <c r="K128" s="8"/>
    </row>
    <row r="129" spans="1:13" ht="18" x14ac:dyDescent="0.35">
      <c r="A129" s="18" t="s">
        <v>137</v>
      </c>
      <c r="B129" s="34">
        <f>1.5*B13/(B96*B31*B32)*10^3</f>
        <v>0.49502239920358382</v>
      </c>
      <c r="C129" s="17" t="s">
        <v>20</v>
      </c>
      <c r="D129" s="17" t="s">
        <v>143</v>
      </c>
      <c r="E129" t="s">
        <v>138</v>
      </c>
      <c r="J129" s="6"/>
      <c r="K129" s="8"/>
    </row>
    <row r="130" spans="1:13" ht="18" x14ac:dyDescent="0.35">
      <c r="A130" s="18" t="s">
        <v>140</v>
      </c>
      <c r="B130" s="34">
        <f>B19/(B31*B32)*10^3</f>
        <v>0.4</v>
      </c>
      <c r="C130" s="17" t="s">
        <v>20</v>
      </c>
      <c r="D130" s="17" t="s">
        <v>143</v>
      </c>
      <c r="E130" t="s">
        <v>139</v>
      </c>
      <c r="J130" s="6"/>
      <c r="K130" s="8"/>
    </row>
    <row r="131" spans="1:13" ht="18" x14ac:dyDescent="0.35">
      <c r="A131" s="18" t="s">
        <v>141</v>
      </c>
      <c r="B131" s="34">
        <f>B25*B31^2/(2*B45^2*(B43-1))*B107</f>
        <v>0.95058527615013311</v>
      </c>
      <c r="C131" s="17" t="s">
        <v>20</v>
      </c>
      <c r="D131" s="17" t="s">
        <v>143</v>
      </c>
      <c r="E131" t="s">
        <v>142</v>
      </c>
      <c r="J131" s="6"/>
      <c r="K131" s="8"/>
    </row>
    <row r="132" spans="1:13" x14ac:dyDescent="0.25">
      <c r="A132" s="18" t="s">
        <v>145</v>
      </c>
      <c r="B132" s="34">
        <f>SUM(B129:B131)</f>
        <v>1.8456076753537169</v>
      </c>
      <c r="C132" s="17" t="s">
        <v>20</v>
      </c>
      <c r="D132" s="17"/>
      <c r="E132" t="s">
        <v>146</v>
      </c>
      <c r="J132" s="6"/>
      <c r="K132" s="8"/>
    </row>
    <row r="133" spans="1:13" x14ac:dyDescent="0.25">
      <c r="A133" s="6"/>
      <c r="B133" s="113" t="str">
        <f>IF(B132&lt;B127,"Verificado","Tensão Excessivo")</f>
        <v>Verificado</v>
      </c>
      <c r="C133" s="114"/>
      <c r="J133" s="6"/>
      <c r="K133" s="8"/>
    </row>
    <row r="134" spans="1:13" x14ac:dyDescent="0.25">
      <c r="A134" s="6"/>
      <c r="J134" s="6"/>
      <c r="K134" s="8"/>
    </row>
    <row r="135" spans="1:13" x14ac:dyDescent="0.25">
      <c r="A135" s="6"/>
      <c r="E135" s="56" t="s">
        <v>147</v>
      </c>
      <c r="F135" s="115">
        <f>B132/B127</f>
        <v>0.46140191883842924</v>
      </c>
      <c r="G135" s="115"/>
      <c r="J135" s="6"/>
      <c r="K135" s="8"/>
    </row>
    <row r="136" spans="1:13" x14ac:dyDescent="0.25">
      <c r="A136" s="15"/>
      <c r="B136" s="7"/>
      <c r="C136" s="7"/>
      <c r="D136" s="7"/>
      <c r="E136" s="7"/>
      <c r="F136" s="7"/>
      <c r="G136" s="7"/>
      <c r="H136" s="7"/>
      <c r="I136" s="7"/>
      <c r="J136" s="15"/>
      <c r="K136" s="16"/>
    </row>
    <row r="137" spans="1:13" x14ac:dyDescent="0.25">
      <c r="A137" s="67" t="s">
        <v>194</v>
      </c>
      <c r="B137" s="68"/>
      <c r="C137" s="68"/>
      <c r="D137" s="69"/>
      <c r="E137" s="70"/>
      <c r="F137" s="71"/>
      <c r="G137" s="71"/>
      <c r="H137" s="71"/>
      <c r="I137" s="72"/>
      <c r="J137" s="71"/>
      <c r="K137" s="72"/>
    </row>
    <row r="138" spans="1:13" x14ac:dyDescent="0.25">
      <c r="A138" s="3"/>
      <c r="B138" s="4"/>
      <c r="C138" s="4"/>
      <c r="D138" s="4"/>
      <c r="E138" s="4"/>
      <c r="F138" s="4"/>
      <c r="G138" s="4"/>
      <c r="H138" s="4"/>
      <c r="I138" s="4"/>
      <c r="J138" s="3"/>
      <c r="K138" s="5"/>
    </row>
    <row r="139" spans="1:13" ht="18" x14ac:dyDescent="0.35">
      <c r="A139" s="18" t="s">
        <v>144</v>
      </c>
      <c r="B139" s="34">
        <f>5*B25</f>
        <v>4</v>
      </c>
      <c r="C139" s="17" t="s">
        <v>20</v>
      </c>
      <c r="D139" s="17" t="s">
        <v>143</v>
      </c>
      <c r="E139" t="s">
        <v>197</v>
      </c>
      <c r="J139" s="6"/>
      <c r="K139" s="8"/>
      <c r="M139" s="48"/>
    </row>
    <row r="140" spans="1:13" x14ac:dyDescent="0.25">
      <c r="A140" s="6"/>
      <c r="J140" s="6"/>
      <c r="K140" s="8"/>
      <c r="M140" s="31" t="s">
        <v>30</v>
      </c>
    </row>
    <row r="141" spans="1:13" ht="18" x14ac:dyDescent="0.35">
      <c r="A141" s="18" t="s">
        <v>137</v>
      </c>
      <c r="B141" s="34">
        <f>1.5*(B13+B14*1.5)/(B96*B31*B32)*10^3</f>
        <v>0.61877799900447983</v>
      </c>
      <c r="C141" s="17" t="s">
        <v>20</v>
      </c>
      <c r="D141" s="17" t="s">
        <v>143</v>
      </c>
      <c r="E141" t="s">
        <v>138</v>
      </c>
      <c r="J141" s="6"/>
      <c r="K141" s="8"/>
      <c r="M141" s="31" t="s">
        <v>31</v>
      </c>
    </row>
    <row r="142" spans="1:13" ht="18" x14ac:dyDescent="0.35">
      <c r="A142" s="18" t="s">
        <v>140</v>
      </c>
      <c r="B142" s="34">
        <f>(B19+B20*0.5)/(B31*B32)*10^3</f>
        <v>0.47499999999999998</v>
      </c>
      <c r="C142" s="17" t="s">
        <v>20</v>
      </c>
      <c r="D142" s="17" t="s">
        <v>143</v>
      </c>
      <c r="E142" t="s">
        <v>139</v>
      </c>
      <c r="J142" s="6"/>
      <c r="K142" s="8"/>
      <c r="M142" s="49" t="s">
        <v>32</v>
      </c>
    </row>
    <row r="143" spans="1:13" ht="18" x14ac:dyDescent="0.35">
      <c r="A143" s="18" t="s">
        <v>141</v>
      </c>
      <c r="B143" s="34">
        <f>B25*B31^2/(2*B45^2*(B43-1))*B118</f>
        <v>1.1025964696945247</v>
      </c>
      <c r="C143" s="17" t="s">
        <v>20</v>
      </c>
      <c r="D143" s="17" t="s">
        <v>143</v>
      </c>
      <c r="E143" t="s">
        <v>142</v>
      </c>
      <c r="J143" s="6"/>
      <c r="K143" s="8"/>
      <c r="M143" s="31"/>
    </row>
    <row r="144" spans="1:13" x14ac:dyDescent="0.25">
      <c r="A144" s="18" t="s">
        <v>145</v>
      </c>
      <c r="B144" s="34">
        <f>SUM(B141:B143)</f>
        <v>2.1963744686990045</v>
      </c>
      <c r="C144" s="17" t="s">
        <v>20</v>
      </c>
      <c r="D144" s="17"/>
      <c r="E144" t="s">
        <v>146</v>
      </c>
      <c r="J144" s="6"/>
      <c r="K144" s="8"/>
      <c r="M144" s="31"/>
    </row>
    <row r="145" spans="1:13" x14ac:dyDescent="0.25">
      <c r="A145" s="6"/>
      <c r="B145" s="113" t="str">
        <f>IF(B144&lt;B139,"Verificado","Tensão Excessivo")</f>
        <v>Verificado</v>
      </c>
      <c r="C145" s="114"/>
      <c r="J145" s="6"/>
      <c r="K145" s="8"/>
      <c r="M145" s="31"/>
    </row>
    <row r="146" spans="1:13" x14ac:dyDescent="0.25">
      <c r="A146" s="6"/>
      <c r="J146" s="6"/>
      <c r="K146" s="8"/>
    </row>
    <row r="147" spans="1:13" x14ac:dyDescent="0.25">
      <c r="A147" s="6"/>
      <c r="E147" s="56" t="s">
        <v>147</v>
      </c>
      <c r="F147" s="115">
        <f>B144/B139</f>
        <v>0.54909361717475114</v>
      </c>
      <c r="G147" s="115"/>
      <c r="J147" s="6"/>
      <c r="K147" s="8"/>
    </row>
    <row r="148" spans="1:13" x14ac:dyDescent="0.25">
      <c r="A148" s="15"/>
      <c r="B148" s="7"/>
      <c r="C148" s="7"/>
      <c r="D148" s="7"/>
      <c r="E148" s="7"/>
      <c r="F148" s="7"/>
      <c r="G148" s="7"/>
      <c r="H148" s="7"/>
      <c r="I148" s="7"/>
      <c r="J148" s="15"/>
      <c r="K148" s="16"/>
    </row>
  </sheetData>
  <mergeCells count="35">
    <mergeCell ref="M90:Q90"/>
    <mergeCell ref="M91:Q95"/>
    <mergeCell ref="F88:G88"/>
    <mergeCell ref="O23:P23"/>
    <mergeCell ref="F70:G70"/>
    <mergeCell ref="F79:G79"/>
    <mergeCell ref="M65:O65"/>
    <mergeCell ref="M72:O73"/>
    <mergeCell ref="M44:N44"/>
    <mergeCell ref="M37:O38"/>
    <mergeCell ref="M28:N29"/>
    <mergeCell ref="B87:C87"/>
    <mergeCell ref="AC1:AD1"/>
    <mergeCell ref="U8:Y8"/>
    <mergeCell ref="M1:Q1"/>
    <mergeCell ref="M11:Q11"/>
    <mergeCell ref="A64:B64"/>
    <mergeCell ref="M21:P21"/>
    <mergeCell ref="O24:P24"/>
    <mergeCell ref="A1:B1"/>
    <mergeCell ref="A2:B2"/>
    <mergeCell ref="U1:W1"/>
    <mergeCell ref="B17:C17"/>
    <mergeCell ref="B77:C77"/>
    <mergeCell ref="O22:P22"/>
    <mergeCell ref="B133:C133"/>
    <mergeCell ref="F135:G135"/>
    <mergeCell ref="B145:C145"/>
    <mergeCell ref="F147:G147"/>
    <mergeCell ref="B98:C98"/>
    <mergeCell ref="F100:G100"/>
    <mergeCell ref="B109:C109"/>
    <mergeCell ref="F111:G111"/>
    <mergeCell ref="B120:C120"/>
    <mergeCell ref="F122:G122"/>
  </mergeCells>
  <phoneticPr fontId="12" type="noConversion"/>
  <conditionalFormatting sqref="B87:C87">
    <cfRule type="containsText" dxfId="28" priority="17" operator="containsText" text="Verificado">
      <formula>NOT(ISERROR(SEARCH("Verificado",B87)))</formula>
    </cfRule>
  </conditionalFormatting>
  <conditionalFormatting sqref="B17:C17">
    <cfRule type="containsText" dxfId="27" priority="16" operator="containsText" text="Verificado">
      <formula>NOT(ISERROR(SEARCH("Verificado",B17)))</formula>
    </cfRule>
  </conditionalFormatting>
  <conditionalFormatting sqref="B98:C98">
    <cfRule type="containsText" dxfId="26" priority="15" operator="containsText" text="Verificado">
      <formula>NOT(ISERROR(SEARCH("Verificado",B98)))</formula>
    </cfRule>
  </conditionalFormatting>
  <conditionalFormatting sqref="N12:N19">
    <cfRule type="cellIs" dxfId="25" priority="9" operator="greaterThan">
      <formula>1</formula>
    </cfRule>
    <cfRule type="cellIs" dxfId="24" priority="10" operator="between">
      <formula>0.80000000001</formula>
      <formula>1</formula>
    </cfRule>
    <cfRule type="cellIs" dxfId="23" priority="11" operator="between">
      <formula>0.60000001</formula>
      <formula>0.8</formula>
    </cfRule>
    <cfRule type="cellIs" dxfId="22" priority="12" operator="between">
      <formula>0.400000001</formula>
      <formula>0.6</formula>
    </cfRule>
    <cfRule type="cellIs" dxfId="21" priority="13" operator="between">
      <formula>0.2000000000001</formula>
      <formula>0.4</formula>
    </cfRule>
    <cfRule type="cellIs" dxfId="20" priority="14" operator="lessThan">
      <formula>0.2</formula>
    </cfRule>
  </conditionalFormatting>
  <conditionalFormatting sqref="B133:C133">
    <cfRule type="containsText" dxfId="19" priority="8" operator="containsText" text="Verificado">
      <formula>NOT(ISERROR(SEARCH("Verificado",B133)))</formula>
    </cfRule>
  </conditionalFormatting>
  <conditionalFormatting sqref="B145:C145">
    <cfRule type="containsText" dxfId="18" priority="7" operator="containsText" text="Verificado">
      <formula>NOT(ISERROR(SEARCH("Verificado",B145)))</formula>
    </cfRule>
  </conditionalFormatting>
  <conditionalFormatting sqref="B109:C109">
    <cfRule type="containsText" dxfId="17" priority="6" operator="containsText" text="Verificado">
      <formula>NOT(ISERROR(SEARCH("Verificado",B109)))</formula>
    </cfRule>
  </conditionalFormatting>
  <conditionalFormatting sqref="B120:C120">
    <cfRule type="containsText" dxfId="16" priority="3" operator="containsText" text="Verificado">
      <formula>NOT(ISERROR(SEARCH("Verificado",B120)))</formula>
    </cfRule>
  </conditionalFormatting>
  <conditionalFormatting sqref="B77:C77">
    <cfRule type="containsText" dxfId="15" priority="2" operator="containsText" text="Verificado">
      <formula>NOT(ISERROR(SEARCH("Verificado",B77)))</formula>
    </cfRule>
  </conditionalFormatting>
  <conditionalFormatting sqref="N25">
    <cfRule type="expression" dxfId="14" priority="1">
      <formula>$N$24="Sim"</formula>
    </cfRule>
  </conditionalFormatting>
  <dataValidations disablePrompts="1" count="3">
    <dataValidation type="list" allowBlank="1" showInputMessage="1" showErrorMessage="1" sqref="D28:D29 D38" xr:uid="{66B598BF-6518-488A-914E-1C93CA8ADED3}">
      <formula1>$M$67:$M$68</formula1>
    </dataValidation>
    <dataValidation type="list" allowBlank="1" showInputMessage="1" showErrorMessage="1" sqref="D22" xr:uid="{9D93EC57-8F31-4A07-9421-194A94F4CD69}">
      <formula1>$M$34:$M$36</formula1>
    </dataValidation>
    <dataValidation type="list" allowBlank="1" showInputMessage="1" showErrorMessage="1" sqref="N24" xr:uid="{76146D64-6D1B-4CE1-8621-9E435FD8DC7F}">
      <formula1>$Q$24:$Q$25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F0347-9E75-4DED-B295-7A3FD1A36CD6}">
  <sheetPr codeName="Planilha4"/>
  <dimension ref="A1:AD141"/>
  <sheetViews>
    <sheetView showGridLines="0" tabSelected="1" topLeftCell="A42" zoomScaleNormal="100" workbookViewId="0">
      <selection activeCell="P57" sqref="P57"/>
    </sheetView>
  </sheetViews>
  <sheetFormatPr defaultRowHeight="15" x14ac:dyDescent="0.25"/>
  <cols>
    <col min="1" max="1" width="6" customWidth="1"/>
    <col min="2" max="2" width="12.28515625" customWidth="1"/>
    <col min="3" max="3" width="8.7109375" customWidth="1"/>
    <col min="4" max="4" width="28.5703125" customWidth="1"/>
    <col min="9" max="9" width="9.140625" customWidth="1"/>
    <col min="11" max="11" width="23.28515625" customWidth="1"/>
    <col min="13" max="13" width="17.85546875" customWidth="1"/>
    <col min="14" max="14" width="10.85546875" customWidth="1"/>
    <col min="16" max="16" width="11.42578125" customWidth="1"/>
    <col min="17" max="17" width="19.7109375" customWidth="1"/>
    <col min="21" max="21" width="14.5703125" customWidth="1"/>
  </cols>
  <sheetData>
    <row r="1" spans="1:30" ht="15.75" x14ac:dyDescent="0.25">
      <c r="A1" s="127" t="s">
        <v>13</v>
      </c>
      <c r="B1" s="128"/>
      <c r="M1" s="121" t="s">
        <v>0</v>
      </c>
      <c r="N1" s="122"/>
      <c r="O1" s="122"/>
      <c r="P1" s="122"/>
      <c r="Q1" s="123"/>
      <c r="U1" s="136" t="s">
        <v>1</v>
      </c>
      <c r="V1" s="136"/>
      <c r="W1" s="136"/>
      <c r="AC1" s="116" t="s">
        <v>2</v>
      </c>
      <c r="AD1" s="117"/>
    </row>
    <row r="2" spans="1:30" x14ac:dyDescent="0.25">
      <c r="A2" s="134" t="s">
        <v>15</v>
      </c>
      <c r="B2" s="135"/>
      <c r="C2" s="28"/>
      <c r="D2" s="35" t="s">
        <v>16</v>
      </c>
      <c r="E2" s="28"/>
      <c r="F2" s="28"/>
      <c r="G2" s="28"/>
      <c r="H2" s="28"/>
      <c r="I2" s="28"/>
      <c r="J2" s="28"/>
      <c r="K2" s="36"/>
      <c r="M2" s="9" t="s">
        <v>218</v>
      </c>
      <c r="N2" s="10"/>
      <c r="O2" s="10"/>
      <c r="P2" s="10"/>
      <c r="Q2" s="11"/>
      <c r="U2" s="23"/>
      <c r="V2" t="s">
        <v>3</v>
      </c>
      <c r="AC2" s="37"/>
      <c r="AD2" s="38" t="s">
        <v>4</v>
      </c>
    </row>
    <row r="3" spans="1:30" x14ac:dyDescent="0.25">
      <c r="A3" s="3"/>
      <c r="B3" s="47"/>
      <c r="C3" s="4"/>
      <c r="D3" s="4"/>
      <c r="E3" s="4"/>
      <c r="F3" s="4"/>
      <c r="G3" s="4"/>
      <c r="H3" s="4"/>
      <c r="I3" s="4"/>
      <c r="J3" s="4"/>
      <c r="K3" s="5"/>
      <c r="M3" s="12" t="s">
        <v>217</v>
      </c>
      <c r="N3" s="13"/>
      <c r="O3" s="13"/>
      <c r="P3" s="13"/>
      <c r="Q3" s="14"/>
      <c r="U3" s="39"/>
      <c r="V3" t="s">
        <v>5</v>
      </c>
      <c r="AC3" s="40"/>
      <c r="AD3" s="38" t="s">
        <v>6</v>
      </c>
    </row>
    <row r="4" spans="1:30" x14ac:dyDescent="0.25">
      <c r="A4" s="18" t="s">
        <v>19</v>
      </c>
      <c r="B4" s="19">
        <v>2000</v>
      </c>
      <c r="C4" s="156" t="s">
        <v>20</v>
      </c>
      <c r="D4" s="168"/>
      <c r="E4" s="161" t="s">
        <v>21</v>
      </c>
      <c r="F4" s="161"/>
      <c r="G4" s="154"/>
      <c r="H4" s="154"/>
      <c r="I4" s="154"/>
      <c r="J4" s="154"/>
      <c r="K4" s="8"/>
      <c r="M4" s="6" t="s">
        <v>210</v>
      </c>
      <c r="Q4" s="8"/>
      <c r="U4" s="41"/>
      <c r="V4" t="s">
        <v>7</v>
      </c>
      <c r="AC4" s="42"/>
      <c r="AD4" s="38" t="s">
        <v>8</v>
      </c>
    </row>
    <row r="5" spans="1:30" ht="18" x14ac:dyDescent="0.35">
      <c r="A5" s="18" t="s">
        <v>219</v>
      </c>
      <c r="B5" s="19">
        <v>38.28</v>
      </c>
      <c r="C5" s="156" t="s">
        <v>24</v>
      </c>
      <c r="D5" s="168"/>
      <c r="E5" s="161" t="s">
        <v>221</v>
      </c>
      <c r="F5" s="161"/>
      <c r="G5" s="154"/>
      <c r="H5" s="154"/>
      <c r="I5" s="154"/>
      <c r="J5" s="154"/>
      <c r="K5" s="8"/>
      <c r="M5" s="15"/>
      <c r="N5" s="7"/>
      <c r="O5" s="7"/>
      <c r="P5" s="7"/>
      <c r="Q5" s="16"/>
      <c r="U5" s="43"/>
      <c r="V5" t="s">
        <v>9</v>
      </c>
      <c r="AC5" s="44"/>
      <c r="AD5" s="38" t="s">
        <v>10</v>
      </c>
    </row>
    <row r="6" spans="1:30" ht="18" x14ac:dyDescent="0.35">
      <c r="A6" s="18" t="s">
        <v>220</v>
      </c>
      <c r="B6" s="19">
        <v>7.36</v>
      </c>
      <c r="C6" s="156" t="s">
        <v>24</v>
      </c>
      <c r="D6" s="168"/>
      <c r="E6" s="161" t="s">
        <v>222</v>
      </c>
      <c r="F6" s="161"/>
      <c r="G6" s="154"/>
      <c r="H6" s="154"/>
      <c r="I6" s="154"/>
      <c r="J6" s="154"/>
      <c r="K6" s="8"/>
      <c r="U6" s="2"/>
      <c r="V6" t="s">
        <v>11</v>
      </c>
      <c r="AC6" s="45"/>
      <c r="AD6" s="38" t="s">
        <v>12</v>
      </c>
    </row>
    <row r="7" spans="1:30" ht="18" x14ac:dyDescent="0.35">
      <c r="A7" s="152" t="s">
        <v>242</v>
      </c>
      <c r="B7" s="24">
        <v>1</v>
      </c>
      <c r="C7" s="153" t="s">
        <v>24</v>
      </c>
      <c r="D7" s="154" t="s">
        <v>243</v>
      </c>
      <c r="E7" s="161" t="s">
        <v>244</v>
      </c>
      <c r="F7" s="154"/>
      <c r="G7" s="154"/>
      <c r="H7" s="154"/>
      <c r="I7" s="154"/>
      <c r="J7" s="154"/>
      <c r="K7" s="8"/>
      <c r="AC7" s="46"/>
      <c r="AD7" s="38" t="s">
        <v>14</v>
      </c>
    </row>
    <row r="8" spans="1:30" x14ac:dyDescent="0.25">
      <c r="A8" s="152" t="s">
        <v>268</v>
      </c>
      <c r="B8" s="164">
        <v>210</v>
      </c>
      <c r="C8" s="153" t="s">
        <v>24</v>
      </c>
      <c r="D8" s="154" t="s">
        <v>24</v>
      </c>
      <c r="E8" s="161" t="s">
        <v>269</v>
      </c>
      <c r="F8" s="154"/>
      <c r="G8" s="154"/>
      <c r="H8" s="154"/>
      <c r="I8" s="154"/>
      <c r="J8" s="154"/>
      <c r="K8" s="8"/>
      <c r="U8" s="118"/>
      <c r="V8" s="119"/>
      <c r="W8" s="119"/>
      <c r="X8" s="119"/>
      <c r="Y8" s="120"/>
    </row>
    <row r="9" spans="1:30" x14ac:dyDescent="0.25">
      <c r="A9" s="6"/>
      <c r="B9" s="154"/>
      <c r="C9" s="154"/>
      <c r="D9" s="154"/>
      <c r="E9" s="154"/>
      <c r="F9" s="154"/>
      <c r="G9" s="154"/>
      <c r="H9" s="154"/>
      <c r="I9" s="154"/>
      <c r="J9" s="154"/>
      <c r="K9" s="8"/>
    </row>
    <row r="10" spans="1:30" x14ac:dyDescent="0.25">
      <c r="A10" s="15"/>
      <c r="B10" s="7"/>
      <c r="C10" s="7"/>
      <c r="D10" s="25"/>
      <c r="E10" s="25"/>
      <c r="F10" s="25"/>
      <c r="G10" s="7"/>
      <c r="H10" s="7"/>
      <c r="I10" s="7"/>
      <c r="J10" s="7"/>
      <c r="K10" s="16"/>
    </row>
    <row r="11" spans="1:30" x14ac:dyDescent="0.25">
      <c r="A11" s="55" t="s">
        <v>34</v>
      </c>
      <c r="B11" s="26"/>
      <c r="C11" s="52"/>
      <c r="D11" s="53"/>
      <c r="E11" s="52"/>
      <c r="F11" s="52"/>
      <c r="G11" s="52"/>
      <c r="H11" s="52"/>
      <c r="I11" s="52"/>
      <c r="J11" s="52"/>
      <c r="K11" s="54"/>
      <c r="M11" s="124" t="s">
        <v>17</v>
      </c>
      <c r="N11" s="125"/>
      <c r="O11" s="125"/>
      <c r="P11" s="125"/>
      <c r="Q11" s="126"/>
    </row>
    <row r="12" spans="1:30" x14ac:dyDescent="0.25">
      <c r="A12" s="3"/>
      <c r="B12" s="4"/>
      <c r="C12" s="4"/>
      <c r="D12" s="97"/>
      <c r="E12" s="97"/>
      <c r="F12" s="97"/>
      <c r="G12" s="4"/>
      <c r="H12" s="4"/>
      <c r="I12" s="4"/>
      <c r="J12" s="4"/>
      <c r="K12" s="5"/>
      <c r="M12" s="32" t="s">
        <v>18</v>
      </c>
      <c r="N12" s="30">
        <f>F87</f>
        <v>0.59970959441477678</v>
      </c>
      <c r="O12" s="50" t="s">
        <v>255</v>
      </c>
      <c r="P12" s="50"/>
      <c r="Q12" s="51"/>
    </row>
    <row r="13" spans="1:30" ht="18" x14ac:dyDescent="0.35">
      <c r="A13" s="18" t="s">
        <v>62</v>
      </c>
      <c r="B13" s="19">
        <v>2140</v>
      </c>
      <c r="C13" s="156" t="s">
        <v>35</v>
      </c>
      <c r="D13" s="168"/>
      <c r="E13" s="161" t="s">
        <v>306</v>
      </c>
      <c r="F13" s="161"/>
      <c r="G13" s="154"/>
      <c r="H13" s="154"/>
      <c r="I13" s="154"/>
      <c r="J13" s="154"/>
      <c r="K13" s="8"/>
      <c r="M13" s="32" t="s">
        <v>49</v>
      </c>
      <c r="N13" s="30">
        <f>F101</f>
        <v>0.84098852518055367</v>
      </c>
      <c r="O13" s="50" t="s">
        <v>255</v>
      </c>
      <c r="P13" s="50"/>
      <c r="Q13" s="51"/>
    </row>
    <row r="14" spans="1:30" ht="18" x14ac:dyDescent="0.35">
      <c r="A14" s="18" t="s">
        <v>304</v>
      </c>
      <c r="B14" s="19">
        <v>800</v>
      </c>
      <c r="C14" s="156" t="s">
        <v>35</v>
      </c>
      <c r="D14" s="168"/>
      <c r="E14" s="161" t="s">
        <v>305</v>
      </c>
      <c r="F14" s="161"/>
      <c r="G14" s="154"/>
      <c r="H14" s="154"/>
      <c r="I14" s="154"/>
      <c r="J14" s="154"/>
      <c r="K14" s="8"/>
      <c r="M14" s="32" t="s">
        <v>22</v>
      </c>
      <c r="N14" s="30">
        <f>F108</f>
        <v>0.21702551111511181</v>
      </c>
      <c r="O14" t="s">
        <v>320</v>
      </c>
      <c r="P14" s="50"/>
      <c r="Q14" s="51"/>
    </row>
    <row r="15" spans="1:30" ht="18" x14ac:dyDescent="0.35">
      <c r="A15" s="18" t="s">
        <v>316</v>
      </c>
      <c r="B15" s="19">
        <v>3000</v>
      </c>
      <c r="C15" s="156" t="s">
        <v>35</v>
      </c>
      <c r="D15" s="168"/>
      <c r="E15" s="161" t="s">
        <v>317</v>
      </c>
      <c r="F15" s="161"/>
      <c r="G15" s="154"/>
      <c r="H15" s="154"/>
      <c r="I15" s="154"/>
      <c r="J15" s="154"/>
      <c r="K15" s="8"/>
      <c r="M15" s="32" t="s">
        <v>50</v>
      </c>
      <c r="N15" s="30">
        <f>F115</f>
        <v>6.1542966999794793E-2</v>
      </c>
      <c r="O15" s="50" t="s">
        <v>321</v>
      </c>
      <c r="P15" s="50"/>
      <c r="Q15" s="51"/>
    </row>
    <row r="16" spans="1:30" x14ac:dyDescent="0.25">
      <c r="A16" s="18"/>
      <c r="B16" s="154"/>
      <c r="C16" s="156"/>
      <c r="D16" s="168"/>
      <c r="E16" s="161"/>
      <c r="F16" s="161"/>
      <c r="G16" s="154"/>
      <c r="H16" s="154"/>
      <c r="I16" s="154"/>
      <c r="J16" s="154"/>
      <c r="K16" s="8"/>
      <c r="M16" s="32" t="s">
        <v>51</v>
      </c>
      <c r="N16" s="30">
        <f>F122</f>
        <v>0.53289925198703725</v>
      </c>
      <c r="O16" s="50" t="s">
        <v>322</v>
      </c>
      <c r="P16" s="50"/>
      <c r="Q16" s="51"/>
    </row>
    <row r="17" spans="1:17" ht="18" x14ac:dyDescent="0.35">
      <c r="A17" s="18" t="s">
        <v>289</v>
      </c>
      <c r="B17" s="19">
        <v>130</v>
      </c>
      <c r="C17" s="156" t="s">
        <v>35</v>
      </c>
      <c r="D17" s="154"/>
      <c r="E17" s="161" t="s">
        <v>291</v>
      </c>
      <c r="F17" s="154"/>
      <c r="G17" s="154"/>
      <c r="H17" s="154"/>
      <c r="I17" s="154"/>
      <c r="J17" s="154"/>
      <c r="K17" s="8"/>
      <c r="M17" s="32" t="s">
        <v>149</v>
      </c>
      <c r="N17" s="30">
        <f>F130</f>
        <v>6.4179419999999996E-4</v>
      </c>
      <c r="O17" s="50" t="s">
        <v>323</v>
      </c>
      <c r="P17" s="50"/>
      <c r="Q17" s="51"/>
    </row>
    <row r="18" spans="1:17" ht="18" x14ac:dyDescent="0.35">
      <c r="A18" s="18" t="s">
        <v>290</v>
      </c>
      <c r="B18" s="19">
        <v>25</v>
      </c>
      <c r="C18" s="156" t="s">
        <v>35</v>
      </c>
      <c r="D18" s="154"/>
      <c r="E18" s="161" t="s">
        <v>292</v>
      </c>
      <c r="F18" s="154"/>
      <c r="G18" s="154"/>
      <c r="H18" s="154"/>
      <c r="I18" s="154"/>
      <c r="J18" s="154"/>
      <c r="K18" s="8"/>
      <c r="M18" s="32" t="s">
        <v>189</v>
      </c>
      <c r="N18" s="30">
        <f>F140</f>
        <v>0.56566115039421372</v>
      </c>
      <c r="O18" s="95" t="s">
        <v>324</v>
      </c>
      <c r="P18" s="50"/>
      <c r="Q18" s="51"/>
    </row>
    <row r="19" spans="1:17" x14ac:dyDescent="0.25">
      <c r="A19" s="15"/>
      <c r="B19" s="7"/>
      <c r="C19" s="7"/>
      <c r="D19" s="7"/>
      <c r="E19" s="169"/>
      <c r="F19" s="25"/>
      <c r="G19" s="7"/>
      <c r="H19" s="7"/>
      <c r="I19" s="7"/>
      <c r="J19" s="7"/>
      <c r="K19" s="16"/>
    </row>
    <row r="20" spans="1:17" x14ac:dyDescent="0.25">
      <c r="A20" s="55" t="s">
        <v>33</v>
      </c>
      <c r="B20" s="26"/>
      <c r="C20" s="52"/>
      <c r="D20" s="53" t="s">
        <v>134</v>
      </c>
      <c r="E20" s="52"/>
      <c r="F20" s="52"/>
      <c r="G20" s="52"/>
      <c r="H20" s="52"/>
      <c r="I20" s="52"/>
      <c r="J20" s="52"/>
      <c r="K20" s="54"/>
    </row>
    <row r="21" spans="1:17" x14ac:dyDescent="0.25">
      <c r="A21" s="3"/>
      <c r="B21" s="4"/>
      <c r="C21" s="4"/>
      <c r="E21" s="4"/>
      <c r="F21" s="4"/>
      <c r="G21" s="4"/>
      <c r="H21" s="4"/>
      <c r="I21" s="4"/>
      <c r="J21" s="4"/>
      <c r="K21" s="5"/>
      <c r="M21" s="129" t="s">
        <v>67</v>
      </c>
      <c r="N21" s="130"/>
      <c r="O21" s="130"/>
      <c r="P21" s="131"/>
    </row>
    <row r="22" spans="1:17" x14ac:dyDescent="0.25">
      <c r="A22" s="18" t="s">
        <v>167</v>
      </c>
      <c r="B22" s="34">
        <f>VLOOKUP(D20,M39:O42,2,FALSE)</f>
        <v>60</v>
      </c>
      <c r="C22" s="20" t="s">
        <v>20</v>
      </c>
      <c r="D22" s="17" t="s">
        <v>130</v>
      </c>
      <c r="E22" s="21" t="s">
        <v>168</v>
      </c>
      <c r="F22" s="21"/>
      <c r="K22" s="8"/>
      <c r="M22" s="2" t="s">
        <v>211</v>
      </c>
      <c r="N22" s="19" t="s">
        <v>199</v>
      </c>
      <c r="O22" s="64"/>
      <c r="P22" s="65"/>
    </row>
    <row r="23" spans="1:17" x14ac:dyDescent="0.25">
      <c r="A23" s="18" t="s">
        <v>99</v>
      </c>
      <c r="B23" s="34">
        <v>0.9</v>
      </c>
      <c r="C23" s="20" t="s">
        <v>20</v>
      </c>
      <c r="D23" s="17" t="s">
        <v>130</v>
      </c>
      <c r="E23" s="21" t="s">
        <v>129</v>
      </c>
      <c r="F23" s="21"/>
      <c r="K23" s="8"/>
      <c r="M23" s="2" t="s">
        <v>108</v>
      </c>
      <c r="N23" s="19" t="s">
        <v>199</v>
      </c>
      <c r="O23" s="132"/>
      <c r="P23" s="133"/>
    </row>
    <row r="24" spans="1:17" x14ac:dyDescent="0.25">
      <c r="A24" s="152" t="s">
        <v>238</v>
      </c>
      <c r="B24" s="165">
        <v>1E-3</v>
      </c>
      <c r="C24" s="17" t="s">
        <v>43</v>
      </c>
      <c r="E24" s="21" t="s">
        <v>240</v>
      </c>
      <c r="F24" s="21"/>
      <c r="K24" s="8"/>
      <c r="M24" s="2" t="s">
        <v>70</v>
      </c>
      <c r="N24" s="19" t="s">
        <v>71</v>
      </c>
      <c r="O24" s="132"/>
      <c r="P24" s="133"/>
    </row>
    <row r="25" spans="1:17" x14ac:dyDescent="0.25">
      <c r="A25" s="152" t="s">
        <v>239</v>
      </c>
      <c r="B25" s="165">
        <v>0</v>
      </c>
      <c r="C25" s="17" t="s">
        <v>43</v>
      </c>
      <c r="D25" s="21"/>
      <c r="E25" s="21" t="s">
        <v>241</v>
      </c>
      <c r="F25" s="21"/>
      <c r="K25" s="8"/>
      <c r="M25" s="2" t="s">
        <v>68</v>
      </c>
      <c r="N25" s="19"/>
      <c r="O25" s="2" t="s">
        <v>69</v>
      </c>
      <c r="P25" s="2"/>
    </row>
    <row r="26" spans="1:17" x14ac:dyDescent="0.25">
      <c r="A26" s="152"/>
      <c r="C26" s="17"/>
      <c r="D26" s="21"/>
      <c r="E26" s="21"/>
      <c r="F26" s="21"/>
      <c r="K26" s="8"/>
      <c r="M26" s="2" t="s">
        <v>200</v>
      </c>
      <c r="N26" s="101">
        <v>3</v>
      </c>
      <c r="O26" s="100"/>
      <c r="P26" s="51"/>
    </row>
    <row r="27" spans="1:17" x14ac:dyDescent="0.25">
      <c r="A27" s="60" t="s">
        <v>274</v>
      </c>
      <c r="B27" s="27"/>
      <c r="C27" s="27"/>
      <c r="D27" s="35" t="s">
        <v>261</v>
      </c>
      <c r="E27" s="61"/>
      <c r="F27" s="52"/>
      <c r="G27" s="52"/>
      <c r="H27" s="52"/>
      <c r="I27" s="52"/>
      <c r="J27" s="52"/>
      <c r="K27" s="54"/>
      <c r="M27" s="2" t="s">
        <v>326</v>
      </c>
      <c r="N27" s="101" t="s">
        <v>328</v>
      </c>
      <c r="O27" s="100"/>
      <c r="P27" s="51"/>
    </row>
    <row r="28" spans="1:17" x14ac:dyDescent="0.25">
      <c r="D28" s="162" t="s">
        <v>275</v>
      </c>
      <c r="K28" s="5"/>
      <c r="M28" s="147" t="s">
        <v>136</v>
      </c>
      <c r="N28" s="148"/>
      <c r="P28" s="8"/>
    </row>
    <row r="29" spans="1:17" x14ac:dyDescent="0.25">
      <c r="A29" s="152"/>
      <c r="C29" s="17"/>
      <c r="D29" s="21"/>
      <c r="E29" s="21"/>
      <c r="F29" s="21"/>
      <c r="K29" s="8"/>
      <c r="M29" s="149"/>
      <c r="N29" s="150"/>
      <c r="O29" s="7"/>
      <c r="P29" s="16"/>
    </row>
    <row r="30" spans="1:17" ht="18" x14ac:dyDescent="0.35">
      <c r="A30" s="18" t="s">
        <v>256</v>
      </c>
      <c r="B30" s="34">
        <f>VLOOKUP(D27,M48:N49,2,FALSE)</f>
        <v>1.5</v>
      </c>
      <c r="C30" s="20" t="s">
        <v>24</v>
      </c>
      <c r="D30" s="17" t="s">
        <v>258</v>
      </c>
      <c r="E30" s="21" t="s">
        <v>257</v>
      </c>
      <c r="F30" s="21"/>
      <c r="K30" s="8"/>
    </row>
    <row r="31" spans="1:17" ht="18" x14ac:dyDescent="0.35">
      <c r="A31" s="152" t="s">
        <v>271</v>
      </c>
      <c r="B31" s="34">
        <f>VLOOKUP(D28,P48:Q49,2,FALSE)</f>
        <v>1</v>
      </c>
      <c r="C31" s="17" t="s">
        <v>24</v>
      </c>
      <c r="D31" s="154" t="s">
        <v>266</v>
      </c>
      <c r="E31" s="21" t="s">
        <v>272</v>
      </c>
      <c r="F31" s="21"/>
      <c r="K31" s="8"/>
    </row>
    <row r="32" spans="1:17" ht="18" x14ac:dyDescent="0.35">
      <c r="A32" s="152" t="s">
        <v>284</v>
      </c>
      <c r="B32" s="34">
        <v>3</v>
      </c>
      <c r="C32" s="17" t="s">
        <v>24</v>
      </c>
      <c r="D32" s="17" t="s">
        <v>282</v>
      </c>
      <c r="E32" s="21" t="s">
        <v>283</v>
      </c>
      <c r="F32" s="21"/>
      <c r="K32" s="8"/>
    </row>
    <row r="33" spans="1:17" x14ac:dyDescent="0.25">
      <c r="A33" s="15"/>
      <c r="B33" s="98"/>
      <c r="C33" s="7"/>
      <c r="D33" s="7"/>
      <c r="E33" s="7"/>
      <c r="F33" s="7"/>
      <c r="G33" s="7"/>
      <c r="H33" s="7"/>
      <c r="I33" s="7"/>
      <c r="J33" s="7"/>
      <c r="K33" s="16"/>
    </row>
    <row r="34" spans="1:17" x14ac:dyDescent="0.25">
      <c r="A34" s="57" t="s">
        <v>47</v>
      </c>
      <c r="B34" s="58"/>
      <c r="C34" s="58"/>
      <c r="D34" s="35" t="s">
        <v>60</v>
      </c>
      <c r="E34" s="59"/>
      <c r="F34" s="28"/>
      <c r="G34" s="28"/>
      <c r="H34" s="28"/>
      <c r="I34" s="28"/>
      <c r="J34" s="28"/>
      <c r="K34" s="36"/>
      <c r="Q34" s="31" t="s">
        <v>71</v>
      </c>
    </row>
    <row r="35" spans="1:17" x14ac:dyDescent="0.25">
      <c r="A35" s="73" t="s">
        <v>159</v>
      </c>
      <c r="B35" s="74"/>
      <c r="C35" s="74"/>
      <c r="D35" s="75"/>
      <c r="E35" s="76"/>
      <c r="F35" s="77"/>
      <c r="G35" s="77"/>
      <c r="H35" s="77"/>
      <c r="I35" s="77"/>
      <c r="J35" s="77"/>
      <c r="K35" s="78"/>
      <c r="Q35" s="31" t="s">
        <v>72</v>
      </c>
    </row>
    <row r="36" spans="1:17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  <c r="K36" s="5"/>
    </row>
    <row r="37" spans="1:17" x14ac:dyDescent="0.25">
      <c r="A37" s="33" t="s">
        <v>36</v>
      </c>
      <c r="B37" s="19">
        <v>400</v>
      </c>
      <c r="C37" s="17" t="s">
        <v>39</v>
      </c>
      <c r="E37" t="s">
        <v>48</v>
      </c>
      <c r="K37" s="8"/>
    </row>
    <row r="38" spans="1:17" ht="15" customHeight="1" x14ac:dyDescent="0.25">
      <c r="A38" s="33" t="s">
        <v>37</v>
      </c>
      <c r="B38" s="19">
        <v>500</v>
      </c>
      <c r="C38" s="17" t="s">
        <v>39</v>
      </c>
      <c r="E38" t="s">
        <v>44</v>
      </c>
      <c r="K38" s="8"/>
    </row>
    <row r="39" spans="1:17" ht="18" x14ac:dyDescent="0.35">
      <c r="A39" s="33" t="s">
        <v>79</v>
      </c>
      <c r="B39" s="19">
        <v>10</v>
      </c>
      <c r="C39" s="17" t="s">
        <v>39</v>
      </c>
      <c r="E39" t="s">
        <v>80</v>
      </c>
      <c r="K39" s="8"/>
      <c r="M39" s="66" t="s">
        <v>131</v>
      </c>
      <c r="N39" s="66" t="s">
        <v>169</v>
      </c>
      <c r="O39" s="66" t="s">
        <v>132</v>
      </c>
    </row>
    <row r="40" spans="1:17" x14ac:dyDescent="0.25">
      <c r="A40" s="33" t="s">
        <v>46</v>
      </c>
      <c r="B40" s="19">
        <v>4</v>
      </c>
      <c r="C40" s="17" t="s">
        <v>39</v>
      </c>
      <c r="E40" t="s">
        <v>185</v>
      </c>
      <c r="K40" s="8"/>
      <c r="M40" s="1" t="s">
        <v>133</v>
      </c>
      <c r="N40" s="1">
        <v>50</v>
      </c>
      <c r="O40" s="1">
        <v>0.8</v>
      </c>
    </row>
    <row r="41" spans="1:17" x14ac:dyDescent="0.25">
      <c r="A41" s="33" t="s">
        <v>45</v>
      </c>
      <c r="B41" s="19">
        <v>2.5</v>
      </c>
      <c r="C41" s="17" t="s">
        <v>39</v>
      </c>
      <c r="E41" t="s">
        <v>186</v>
      </c>
      <c r="K41" s="8"/>
      <c r="M41" s="1" t="s">
        <v>134</v>
      </c>
      <c r="N41" s="1">
        <v>60</v>
      </c>
      <c r="O41" s="1">
        <v>1</v>
      </c>
    </row>
    <row r="42" spans="1:17" x14ac:dyDescent="0.25">
      <c r="A42" s="33" t="s">
        <v>98</v>
      </c>
      <c r="B42" s="34">
        <f>2*B41+(B50-1)*B52+B51*B50</f>
        <v>89</v>
      </c>
      <c r="C42" s="17" t="s">
        <v>39</v>
      </c>
      <c r="D42" s="48"/>
      <c r="E42" t="s">
        <v>157</v>
      </c>
      <c r="K42" s="8"/>
      <c r="M42" s="1" t="s">
        <v>135</v>
      </c>
      <c r="N42" s="1">
        <v>70</v>
      </c>
      <c r="O42" s="1">
        <v>1.2</v>
      </c>
    </row>
    <row r="43" spans="1:17" x14ac:dyDescent="0.25">
      <c r="A43" s="166" t="s">
        <v>314</v>
      </c>
      <c r="B43" s="34">
        <f>B42-B50*B51</f>
        <v>65</v>
      </c>
      <c r="C43" s="17" t="s">
        <v>39</v>
      </c>
      <c r="D43" s="48"/>
      <c r="E43" t="s">
        <v>315</v>
      </c>
      <c r="K43" s="8"/>
      <c r="M43" s="137" t="s">
        <v>130</v>
      </c>
      <c r="N43" s="138"/>
      <c r="O43" s="139"/>
    </row>
    <row r="44" spans="1:17" x14ac:dyDescent="0.25">
      <c r="A44" s="79"/>
      <c r="C44" s="17"/>
      <c r="K44" s="8"/>
      <c r="M44" s="143"/>
      <c r="N44" s="144"/>
      <c r="O44" s="145"/>
    </row>
    <row r="45" spans="1:17" x14ac:dyDescent="0.25">
      <c r="A45" s="73" t="s">
        <v>226</v>
      </c>
      <c r="B45" s="74"/>
      <c r="C45" s="74"/>
      <c r="D45" s="75"/>
      <c r="E45" s="76"/>
      <c r="F45" s="77"/>
      <c r="G45" s="77"/>
      <c r="H45" s="77"/>
      <c r="I45" s="77"/>
      <c r="J45" s="77"/>
      <c r="K45" s="78"/>
    </row>
    <row r="46" spans="1:17" x14ac:dyDescent="0.25">
      <c r="A46" s="3"/>
      <c r="B46" s="4"/>
      <c r="C46" s="4"/>
      <c r="D46" s="4"/>
      <c r="E46" s="4"/>
      <c r="F46" s="4"/>
      <c r="G46" s="4"/>
      <c r="H46" s="4"/>
      <c r="I46" s="4"/>
      <c r="J46" s="4"/>
      <c r="K46" s="5"/>
    </row>
    <row r="47" spans="1:17" x14ac:dyDescent="0.25">
      <c r="A47" s="33" t="s">
        <v>162</v>
      </c>
      <c r="B47" s="34">
        <f>B37-2*B40</f>
        <v>392</v>
      </c>
      <c r="C47" s="156" t="s">
        <v>39</v>
      </c>
      <c r="D47" s="154"/>
      <c r="E47" s="154" t="s">
        <v>164</v>
      </c>
      <c r="F47" s="154"/>
      <c r="G47" s="154"/>
      <c r="H47" s="154"/>
      <c r="I47" s="154"/>
      <c r="J47" s="154"/>
      <c r="K47" s="8"/>
      <c r="M47" s="66" t="s">
        <v>259</v>
      </c>
      <c r="N47" s="66" t="s">
        <v>260</v>
      </c>
      <c r="P47" s="66" t="s">
        <v>273</v>
      </c>
      <c r="Q47" s="66" t="s">
        <v>260</v>
      </c>
    </row>
    <row r="48" spans="1:17" x14ac:dyDescent="0.25">
      <c r="A48" s="33" t="s">
        <v>163</v>
      </c>
      <c r="B48" s="34">
        <f>B38-2*B40</f>
        <v>492</v>
      </c>
      <c r="C48" s="156" t="s">
        <v>39</v>
      </c>
      <c r="D48" s="154"/>
      <c r="E48" s="154" t="s">
        <v>165</v>
      </c>
      <c r="F48" s="154"/>
      <c r="G48" s="154"/>
      <c r="H48" s="154"/>
      <c r="I48" s="154"/>
      <c r="J48" s="154"/>
      <c r="K48" s="8"/>
      <c r="M48" s="1" t="s">
        <v>261</v>
      </c>
      <c r="N48" s="1">
        <v>1.5</v>
      </c>
      <c r="P48" s="1" t="s">
        <v>275</v>
      </c>
      <c r="Q48" s="1">
        <v>1</v>
      </c>
    </row>
    <row r="49" spans="1:17" ht="18" x14ac:dyDescent="0.35">
      <c r="A49" s="33" t="s">
        <v>207</v>
      </c>
      <c r="B49" s="34">
        <f>B47*B39/B37</f>
        <v>9.8000000000000007</v>
      </c>
      <c r="C49" s="156" t="s">
        <v>39</v>
      </c>
      <c r="D49" s="154"/>
      <c r="E49" s="154" t="s">
        <v>80</v>
      </c>
      <c r="F49" s="154"/>
      <c r="G49" s="154"/>
      <c r="H49" s="154"/>
      <c r="I49" s="154"/>
      <c r="J49" s="154"/>
      <c r="K49" s="8"/>
      <c r="M49" s="1" t="s">
        <v>262</v>
      </c>
      <c r="N49" s="1">
        <v>1</v>
      </c>
      <c r="P49" s="1" t="s">
        <v>276</v>
      </c>
      <c r="Q49" s="1">
        <v>2</v>
      </c>
    </row>
    <row r="50" spans="1:17" ht="15" customHeight="1" x14ac:dyDescent="0.25">
      <c r="A50" s="33" t="s">
        <v>38</v>
      </c>
      <c r="B50" s="19">
        <v>6</v>
      </c>
      <c r="C50" s="156" t="s">
        <v>100</v>
      </c>
      <c r="D50" s="154"/>
      <c r="E50" s="154" t="s">
        <v>187</v>
      </c>
      <c r="F50" s="154"/>
      <c r="G50" s="154"/>
      <c r="H50" s="154"/>
      <c r="I50" s="154"/>
      <c r="J50" s="154"/>
      <c r="K50" s="8"/>
      <c r="M50" s="137" t="s">
        <v>258</v>
      </c>
      <c r="N50" s="139"/>
      <c r="P50" s="137" t="s">
        <v>266</v>
      </c>
      <c r="Q50" s="139"/>
    </row>
    <row r="51" spans="1:17" x14ac:dyDescent="0.25">
      <c r="A51" s="33" t="s">
        <v>161</v>
      </c>
      <c r="B51" s="19">
        <v>4</v>
      </c>
      <c r="C51" s="156" t="s">
        <v>39</v>
      </c>
      <c r="D51" s="154"/>
      <c r="E51" s="154" t="s">
        <v>41</v>
      </c>
      <c r="F51" s="154"/>
      <c r="G51" s="154"/>
      <c r="H51" s="154"/>
      <c r="I51" s="154"/>
      <c r="J51" s="154"/>
      <c r="K51" s="8"/>
      <c r="M51" s="143"/>
      <c r="N51" s="145"/>
      <c r="P51" s="143"/>
      <c r="Q51" s="145"/>
    </row>
    <row r="52" spans="1:17" x14ac:dyDescent="0.25">
      <c r="A52" s="33" t="s">
        <v>325</v>
      </c>
      <c r="B52" s="19">
        <v>12</v>
      </c>
      <c r="C52" s="156" t="s">
        <v>39</v>
      </c>
      <c r="D52" s="170"/>
      <c r="E52" s="154" t="s">
        <v>40</v>
      </c>
      <c r="F52" s="154"/>
      <c r="G52" s="154"/>
      <c r="H52" s="154"/>
      <c r="I52" s="154"/>
      <c r="J52" s="154"/>
      <c r="K52" s="8"/>
    </row>
    <row r="53" spans="1:17" ht="18" x14ac:dyDescent="0.25">
      <c r="A53" s="33" t="s">
        <v>213</v>
      </c>
      <c r="B53" s="34">
        <f>B47*B48</f>
        <v>192864</v>
      </c>
      <c r="C53" s="156" t="s">
        <v>227</v>
      </c>
      <c r="D53" s="154" t="s">
        <v>216</v>
      </c>
      <c r="E53" s="154" t="s">
        <v>318</v>
      </c>
      <c r="F53" s="154"/>
      <c r="G53" s="154"/>
      <c r="H53" s="154"/>
      <c r="I53" s="154"/>
      <c r="J53" s="154"/>
      <c r="K53" s="8"/>
    </row>
    <row r="54" spans="1:17" x14ac:dyDescent="0.25">
      <c r="A54" s="33" t="s">
        <v>214</v>
      </c>
      <c r="B54" s="34">
        <f>B47*B48/(B52*2*(B47+B48))</f>
        <v>9.0904977375565608</v>
      </c>
      <c r="C54" s="156" t="s">
        <v>24</v>
      </c>
      <c r="D54" s="154" t="s">
        <v>216</v>
      </c>
      <c r="E54" s="154" t="s">
        <v>215</v>
      </c>
      <c r="F54" s="154"/>
      <c r="G54" s="154"/>
      <c r="H54" s="154"/>
      <c r="I54" s="154"/>
      <c r="J54" s="154"/>
      <c r="K54" s="8"/>
    </row>
    <row r="55" spans="1:17" x14ac:dyDescent="0.25">
      <c r="A55" s="15"/>
      <c r="B55" s="7"/>
      <c r="C55" s="7"/>
      <c r="D55" s="7"/>
      <c r="E55" s="7"/>
      <c r="F55" s="7"/>
      <c r="G55" s="7"/>
      <c r="H55" s="7"/>
      <c r="I55" s="7"/>
      <c r="J55" s="7"/>
      <c r="K55" s="16"/>
    </row>
    <row r="56" spans="1:17" x14ac:dyDescent="0.25">
      <c r="A56" s="154"/>
      <c r="B56" s="154"/>
      <c r="C56" s="154"/>
      <c r="D56" s="154"/>
      <c r="E56" s="154"/>
      <c r="F56" s="154"/>
      <c r="G56" s="154"/>
      <c r="H56" s="154"/>
      <c r="I56" s="154"/>
      <c r="J56" s="154"/>
      <c r="K56" s="154"/>
    </row>
    <row r="57" spans="1:17" x14ac:dyDescent="0.25">
      <c r="A57" s="154"/>
      <c r="B57" s="154"/>
      <c r="C57" s="154"/>
      <c r="D57" s="154"/>
      <c r="E57" s="154"/>
      <c r="F57" s="154"/>
      <c r="G57" s="154"/>
      <c r="H57" s="154"/>
      <c r="I57" s="154"/>
      <c r="J57" s="154"/>
      <c r="K57" s="154"/>
    </row>
    <row r="58" spans="1:17" x14ac:dyDescent="0.25">
      <c r="A58" s="154"/>
      <c r="B58" s="154"/>
      <c r="C58" s="154"/>
      <c r="D58" s="154"/>
      <c r="E58" s="154"/>
      <c r="F58" s="154"/>
      <c r="G58" s="154"/>
      <c r="H58" s="154"/>
      <c r="I58" s="154"/>
      <c r="J58" s="154"/>
      <c r="K58" s="154"/>
    </row>
    <row r="59" spans="1:17" x14ac:dyDescent="0.25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</row>
    <row r="60" spans="1:17" x14ac:dyDescent="0.25">
      <c r="A60" s="154"/>
      <c r="B60" s="154"/>
      <c r="C60" s="154"/>
      <c r="D60" s="154"/>
      <c r="E60" s="154"/>
      <c r="F60" s="154"/>
      <c r="G60" s="154"/>
      <c r="H60" s="154"/>
      <c r="I60" s="154"/>
      <c r="J60" s="154"/>
      <c r="K60" s="154"/>
    </row>
    <row r="61" spans="1:17" x14ac:dyDescent="0.25">
      <c r="A61" s="154"/>
      <c r="B61" s="154"/>
      <c r="C61" s="154"/>
      <c r="D61" s="154"/>
      <c r="E61" s="154"/>
      <c r="F61" s="154"/>
      <c r="G61" s="154"/>
      <c r="H61" s="154"/>
      <c r="I61" s="154"/>
      <c r="J61" s="154"/>
      <c r="K61" s="154"/>
    </row>
    <row r="62" spans="1:17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</row>
    <row r="63" spans="1:17" x14ac:dyDescent="0.25">
      <c r="A63" s="154"/>
      <c r="B63" s="154"/>
      <c r="C63" s="154"/>
      <c r="D63" s="154"/>
      <c r="E63" s="154"/>
      <c r="F63" s="154"/>
      <c r="G63" s="154"/>
      <c r="H63" s="154"/>
      <c r="I63" s="154"/>
      <c r="J63" s="154"/>
      <c r="K63" s="154"/>
    </row>
    <row r="64" spans="1:17" x14ac:dyDescent="0.25">
      <c r="A64" s="154"/>
      <c r="B64" s="154"/>
      <c r="C64" s="154"/>
      <c r="D64" s="154"/>
      <c r="E64" s="154"/>
      <c r="F64" s="154"/>
      <c r="G64" s="154"/>
      <c r="H64" s="154"/>
      <c r="I64" s="154"/>
      <c r="J64" s="154"/>
      <c r="K64" s="154"/>
    </row>
    <row r="65" spans="1:14" x14ac:dyDescent="0.25">
      <c r="A65" s="154"/>
      <c r="B65" s="154"/>
      <c r="C65" s="154"/>
      <c r="D65" s="154"/>
      <c r="E65" s="154"/>
      <c r="F65" s="154"/>
      <c r="G65" s="154"/>
      <c r="H65" s="154"/>
      <c r="I65" s="154"/>
      <c r="J65" s="154"/>
      <c r="K65" s="154"/>
    </row>
    <row r="66" spans="1:14" x14ac:dyDescent="0.25">
      <c r="A66" s="154"/>
      <c r="B66" s="154"/>
      <c r="C66" s="154"/>
      <c r="D66" s="154"/>
      <c r="E66" s="154"/>
      <c r="F66" s="154"/>
      <c r="G66" s="154"/>
      <c r="H66" s="154"/>
      <c r="I66" s="154"/>
      <c r="J66" s="154"/>
      <c r="K66" s="154"/>
    </row>
    <row r="67" spans="1:14" x14ac:dyDescent="0.25">
      <c r="A67" s="154"/>
      <c r="B67" s="154"/>
      <c r="C67" s="154"/>
      <c r="D67" s="154"/>
      <c r="E67" s="154"/>
      <c r="F67" s="154"/>
      <c r="G67" s="154"/>
      <c r="H67" s="154"/>
      <c r="I67" s="154"/>
      <c r="J67" s="154"/>
      <c r="K67" s="154"/>
    </row>
    <row r="68" spans="1:14" x14ac:dyDescent="0.25">
      <c r="A68" s="154"/>
      <c r="B68" s="154"/>
      <c r="C68" s="154"/>
      <c r="D68" s="154"/>
      <c r="E68" s="154"/>
      <c r="F68" s="154"/>
      <c r="G68" s="154"/>
      <c r="H68" s="154"/>
      <c r="I68" s="154"/>
      <c r="J68" s="154"/>
      <c r="K68" s="154"/>
    </row>
    <row r="69" spans="1:14" x14ac:dyDescent="0.25">
      <c r="A69" s="154"/>
      <c r="B69" s="154"/>
      <c r="C69" s="154"/>
      <c r="D69" s="154"/>
      <c r="E69" s="154"/>
      <c r="F69" s="154"/>
      <c r="G69" s="154"/>
      <c r="H69" s="154"/>
      <c r="I69" s="154"/>
      <c r="J69" s="154"/>
      <c r="K69" s="154"/>
    </row>
    <row r="70" spans="1:14" x14ac:dyDescent="0.25">
      <c r="A70" s="154"/>
      <c r="B70" s="154"/>
      <c r="C70" s="154"/>
      <c r="D70" s="154"/>
      <c r="E70" s="154"/>
      <c r="F70" s="154"/>
      <c r="G70" s="154"/>
      <c r="H70" s="154"/>
      <c r="I70" s="154"/>
      <c r="J70" s="154"/>
      <c r="K70" s="154"/>
    </row>
    <row r="71" spans="1:14" x14ac:dyDescent="0.25">
      <c r="M71" s="17"/>
      <c r="N71" s="17"/>
    </row>
    <row r="72" spans="1:14" x14ac:dyDescent="0.25">
      <c r="M72" s="17"/>
      <c r="N72" s="17"/>
    </row>
    <row r="73" spans="1:14" x14ac:dyDescent="0.25">
      <c r="M73" s="17"/>
      <c r="N73" s="17"/>
    </row>
    <row r="74" spans="1:14" x14ac:dyDescent="0.25">
      <c r="A74" s="127" t="s">
        <v>29</v>
      </c>
      <c r="B74" s="128"/>
      <c r="M74" s="17"/>
      <c r="N74" s="17"/>
    </row>
    <row r="75" spans="1:14" x14ac:dyDescent="0.25">
      <c r="A75" s="60" t="s">
        <v>223</v>
      </c>
      <c r="B75" s="27"/>
      <c r="C75" s="27"/>
      <c r="D75" s="53"/>
      <c r="E75" s="61"/>
      <c r="F75" s="52"/>
      <c r="G75" s="52"/>
      <c r="H75" s="52"/>
      <c r="I75" s="54"/>
      <c r="J75" s="52"/>
      <c r="K75" s="54"/>
      <c r="M75" s="17"/>
      <c r="N75" s="17"/>
    </row>
    <row r="76" spans="1:14" x14ac:dyDescent="0.25">
      <c r="A76" s="67" t="s">
        <v>234</v>
      </c>
      <c r="B76" s="68"/>
      <c r="C76" s="68"/>
      <c r="D76" s="69"/>
      <c r="E76" s="70"/>
      <c r="F76" s="71"/>
      <c r="G76" s="71"/>
      <c r="H76" s="71"/>
      <c r="I76" s="72"/>
      <c r="J76" s="71"/>
      <c r="K76" s="72"/>
      <c r="M76" s="17"/>
      <c r="N76" s="17"/>
    </row>
    <row r="77" spans="1:14" x14ac:dyDescent="0.25">
      <c r="A77" s="3"/>
      <c r="B77" s="4"/>
      <c r="C77" s="4"/>
      <c r="D77" s="4"/>
      <c r="E77" s="4"/>
      <c r="F77" s="4"/>
      <c r="G77" s="4"/>
      <c r="H77" s="4"/>
      <c r="I77" s="5"/>
      <c r="J77" s="4"/>
      <c r="K77" s="5"/>
      <c r="M77" s="17"/>
      <c r="N77" s="17"/>
    </row>
    <row r="78" spans="1:14" ht="18" x14ac:dyDescent="0.35">
      <c r="A78" s="18" t="s">
        <v>225</v>
      </c>
      <c r="B78" s="34">
        <f>B53*(1-B5/B47-B6/B48)</f>
        <v>171145.12</v>
      </c>
      <c r="C78" s="17" t="s">
        <v>227</v>
      </c>
      <c r="D78" t="s">
        <v>229</v>
      </c>
      <c r="E78" t="s">
        <v>334</v>
      </c>
      <c r="I78" s="8"/>
      <c r="K78" s="8"/>
      <c r="M78" s="167" t="s">
        <v>319</v>
      </c>
      <c r="N78" s="17"/>
    </row>
    <row r="79" spans="1:14" ht="18" x14ac:dyDescent="0.35">
      <c r="A79" s="18" t="s">
        <v>224</v>
      </c>
      <c r="B79" s="34">
        <f>1.5*B15/(B23*B78*B54)*10^3</f>
        <v>3.2137924119833627</v>
      </c>
      <c r="C79" s="17" t="s">
        <v>24</v>
      </c>
      <c r="D79" t="s">
        <v>229</v>
      </c>
      <c r="E79" t="s">
        <v>231</v>
      </c>
      <c r="I79" s="8"/>
      <c r="K79" s="8"/>
      <c r="M79" s="17"/>
      <c r="N79" s="17"/>
    </row>
    <row r="80" spans="1:14" x14ac:dyDescent="0.25">
      <c r="A80" s="15"/>
      <c r="B80" s="7"/>
      <c r="C80" s="7"/>
      <c r="D80" s="7"/>
      <c r="E80" s="7"/>
      <c r="F80" s="7"/>
      <c r="G80" s="7"/>
      <c r="H80" s="7"/>
      <c r="I80" s="16"/>
      <c r="J80" s="7"/>
      <c r="K80" s="16"/>
      <c r="M80" s="17"/>
      <c r="N80" s="17"/>
    </row>
    <row r="81" spans="1:16" x14ac:dyDescent="0.25">
      <c r="A81" s="67" t="s">
        <v>235</v>
      </c>
      <c r="B81" s="68"/>
      <c r="C81" s="68"/>
      <c r="D81" s="69"/>
      <c r="E81" s="70"/>
      <c r="F81" s="71"/>
      <c r="G81" s="71"/>
      <c r="H81" s="71"/>
      <c r="I81" s="72"/>
      <c r="J81" s="71"/>
      <c r="K81" s="72"/>
      <c r="M81" s="17"/>
      <c r="N81" s="17"/>
    </row>
    <row r="82" spans="1:16" x14ac:dyDescent="0.25">
      <c r="A82" s="3"/>
      <c r="B82" s="4"/>
      <c r="C82" s="4"/>
      <c r="D82" s="4"/>
      <c r="E82" s="4"/>
      <c r="F82" s="4"/>
      <c r="G82" s="4"/>
      <c r="H82" s="4"/>
      <c r="I82" s="5"/>
      <c r="J82" s="4"/>
      <c r="K82" s="5"/>
      <c r="M82" s="17"/>
      <c r="N82" s="17"/>
    </row>
    <row r="83" spans="1:16" ht="18" x14ac:dyDescent="0.35">
      <c r="A83" s="18" t="s">
        <v>250</v>
      </c>
      <c r="B83" s="34">
        <f>SQRT(B5^2+B6^2)</f>
        <v>38.98112363696049</v>
      </c>
      <c r="C83" s="17" t="s">
        <v>39</v>
      </c>
      <c r="D83" t="s">
        <v>232</v>
      </c>
      <c r="E83" s="154" t="s">
        <v>252</v>
      </c>
      <c r="F83" s="154"/>
      <c r="G83" s="154"/>
      <c r="H83" s="154"/>
      <c r="I83" s="8"/>
      <c r="J83" s="154"/>
      <c r="K83" s="8"/>
      <c r="M83" s="167" t="s">
        <v>319</v>
      </c>
      <c r="N83" s="17"/>
    </row>
    <row r="84" spans="1:16" ht="18" x14ac:dyDescent="0.35">
      <c r="A84" s="18" t="s">
        <v>228</v>
      </c>
      <c r="B84" s="34">
        <v>1</v>
      </c>
      <c r="C84" s="17" t="s">
        <v>313</v>
      </c>
      <c r="D84" t="s">
        <v>232</v>
      </c>
      <c r="E84" t="s">
        <v>233</v>
      </c>
      <c r="I84" s="8"/>
      <c r="K84" s="8"/>
    </row>
    <row r="85" spans="1:16" ht="18" x14ac:dyDescent="0.35">
      <c r="A85" s="18" t="s">
        <v>228</v>
      </c>
      <c r="B85" s="34">
        <f>B83/B43</f>
        <v>0.59970959441477678</v>
      </c>
      <c r="C85" s="17" t="s">
        <v>24</v>
      </c>
      <c r="D85" t="s">
        <v>232</v>
      </c>
      <c r="E85" t="s">
        <v>230</v>
      </c>
      <c r="I85" s="8"/>
      <c r="K85" s="8"/>
    </row>
    <row r="86" spans="1:16" x14ac:dyDescent="0.25">
      <c r="A86" s="18"/>
      <c r="B86" s="113" t="str">
        <f>IF(B85&lt;B84,"Verificado","Deformação Excessivo")</f>
        <v>Verificado</v>
      </c>
      <c r="C86" s="114"/>
      <c r="I86" s="8"/>
      <c r="K86" s="8"/>
    </row>
    <row r="87" spans="1:16" ht="18" x14ac:dyDescent="0.35">
      <c r="A87" s="18"/>
      <c r="C87" s="17"/>
      <c r="E87" s="56" t="s">
        <v>253</v>
      </c>
      <c r="F87" s="115">
        <f>B85/B84</f>
        <v>0.59970959441477678</v>
      </c>
      <c r="G87" s="115"/>
      <c r="I87" s="8"/>
      <c r="K87" s="8"/>
    </row>
    <row r="88" spans="1:16" x14ac:dyDescent="0.25">
      <c r="A88" s="15"/>
      <c r="B88" s="7"/>
      <c r="C88" s="7"/>
      <c r="D88" s="7"/>
      <c r="E88" s="7"/>
      <c r="F88" s="7"/>
      <c r="G88" s="7"/>
      <c r="H88" s="7"/>
      <c r="I88" s="16"/>
      <c r="J88" s="7"/>
      <c r="K88" s="16"/>
    </row>
    <row r="89" spans="1:16" x14ac:dyDescent="0.25">
      <c r="A89" s="67" t="s">
        <v>236</v>
      </c>
      <c r="B89" s="68"/>
      <c r="C89" s="68"/>
      <c r="D89" s="69"/>
      <c r="E89" s="70"/>
      <c r="F89" s="71"/>
      <c r="G89" s="71"/>
      <c r="H89" s="71"/>
      <c r="I89" s="72"/>
      <c r="J89" s="71"/>
      <c r="K89" s="72"/>
    </row>
    <row r="90" spans="1:16" x14ac:dyDescent="0.25">
      <c r="A90" s="3"/>
      <c r="B90" s="4"/>
      <c r="C90" s="4"/>
      <c r="D90" s="4"/>
      <c r="E90" s="4"/>
      <c r="F90" s="4"/>
      <c r="G90" s="4"/>
      <c r="H90" s="4"/>
      <c r="I90" s="5"/>
      <c r="J90" s="4"/>
      <c r="K90" s="155"/>
    </row>
    <row r="91" spans="1:16" x14ac:dyDescent="0.25">
      <c r="A91" s="152" t="s">
        <v>238</v>
      </c>
      <c r="B91" s="34">
        <f>B24</f>
        <v>1E-3</v>
      </c>
      <c r="C91" s="156" t="s">
        <v>43</v>
      </c>
      <c r="D91" s="154"/>
      <c r="E91" s="154" t="s">
        <v>329</v>
      </c>
      <c r="F91" s="154"/>
      <c r="G91" s="154"/>
      <c r="H91" s="154"/>
      <c r="I91" s="8"/>
      <c r="J91" s="154"/>
      <c r="K91" s="157"/>
      <c r="M91" s="167" t="s">
        <v>319</v>
      </c>
      <c r="N91" s="17"/>
    </row>
    <row r="92" spans="1:16" x14ac:dyDescent="0.25">
      <c r="A92" s="152" t="s">
        <v>239</v>
      </c>
      <c r="B92" s="34">
        <f>B25</f>
        <v>0</v>
      </c>
      <c r="C92" s="156" t="s">
        <v>43</v>
      </c>
      <c r="D92" s="154"/>
      <c r="E92" s="154" t="s">
        <v>330</v>
      </c>
      <c r="F92" s="154"/>
      <c r="G92" s="154"/>
      <c r="H92" s="154"/>
      <c r="I92" s="8"/>
      <c r="J92" s="154"/>
      <c r="K92" s="157"/>
      <c r="L92" s="102"/>
      <c r="M92" s="102"/>
    </row>
    <row r="93" spans="1:16" ht="18" x14ac:dyDescent="0.35">
      <c r="A93" s="18" t="s">
        <v>237</v>
      </c>
      <c r="B93" s="34">
        <f>(B37^2*B91+B38^2*B92)*B52/(2*B52^3*(B50-1))</f>
        <v>0.1111111111111111</v>
      </c>
      <c r="C93" s="156" t="s">
        <v>24</v>
      </c>
      <c r="D93" s="154" t="s">
        <v>251</v>
      </c>
      <c r="E93" s="154" t="s">
        <v>233</v>
      </c>
      <c r="F93" s="154"/>
      <c r="G93" s="154"/>
      <c r="H93" s="154"/>
      <c r="I93" s="8"/>
      <c r="J93" s="154"/>
      <c r="K93" s="157"/>
      <c r="L93" s="102"/>
      <c r="M93" s="102"/>
    </row>
    <row r="94" spans="1:16" x14ac:dyDescent="0.25">
      <c r="A94" s="15"/>
      <c r="B94" s="7"/>
      <c r="C94" s="7"/>
      <c r="D94" s="7"/>
      <c r="E94" s="7"/>
      <c r="F94" s="7"/>
      <c r="G94" s="7"/>
      <c r="H94" s="7"/>
      <c r="I94" s="16"/>
      <c r="J94" s="158"/>
      <c r="K94" s="159"/>
      <c r="L94" s="102"/>
      <c r="M94" s="102"/>
    </row>
    <row r="95" spans="1:16" x14ac:dyDescent="0.25">
      <c r="A95" s="67" t="s">
        <v>236</v>
      </c>
      <c r="B95" s="68"/>
      <c r="C95" s="68"/>
      <c r="D95" s="69"/>
      <c r="E95" s="70"/>
      <c r="F95" s="71"/>
      <c r="G95" s="71"/>
      <c r="H95" s="71"/>
      <c r="I95" s="72"/>
      <c r="J95" s="71"/>
      <c r="K95" s="72"/>
      <c r="L95" s="102"/>
      <c r="M95" s="102"/>
    </row>
    <row r="96" spans="1:16" x14ac:dyDescent="0.25">
      <c r="A96" s="3"/>
      <c r="B96" s="4"/>
      <c r="C96" s="4"/>
      <c r="D96" s="4"/>
      <c r="E96" s="4"/>
      <c r="F96" s="4"/>
      <c r="G96" s="4"/>
      <c r="H96" s="4"/>
      <c r="I96" s="5"/>
      <c r="J96" s="4"/>
      <c r="K96" s="155"/>
      <c r="L96" s="102"/>
      <c r="M96" s="102"/>
      <c r="N96" s="102"/>
      <c r="O96" s="102"/>
      <c r="P96" s="102"/>
    </row>
    <row r="97" spans="1:16" ht="18" x14ac:dyDescent="0.35">
      <c r="A97" s="18" t="s">
        <v>246</v>
      </c>
      <c r="B97" s="34">
        <v>7</v>
      </c>
      <c r="C97" s="156" t="s">
        <v>24</v>
      </c>
      <c r="D97" s="154" t="s">
        <v>243</v>
      </c>
      <c r="E97" s="154" t="s">
        <v>247</v>
      </c>
      <c r="F97" s="154"/>
      <c r="G97" s="154"/>
      <c r="H97" s="154"/>
      <c r="I97" s="8"/>
      <c r="J97" s="154"/>
      <c r="K97" s="8"/>
      <c r="L97" s="102"/>
      <c r="M97" s="167" t="s">
        <v>319</v>
      </c>
      <c r="N97" s="102"/>
      <c r="O97" s="102"/>
      <c r="P97" s="102"/>
    </row>
    <row r="98" spans="1:16" ht="18" x14ac:dyDescent="0.35">
      <c r="A98" s="18" t="s">
        <v>245</v>
      </c>
      <c r="B98" s="34">
        <f>B97/B7</f>
        <v>7</v>
      </c>
      <c r="C98" s="156" t="s">
        <v>24</v>
      </c>
      <c r="D98" s="154" t="s">
        <v>243</v>
      </c>
      <c r="E98" s="154" t="s">
        <v>248</v>
      </c>
      <c r="F98" s="154"/>
      <c r="G98" s="154"/>
      <c r="H98" s="154"/>
      <c r="I98" s="8"/>
      <c r="J98" s="154"/>
      <c r="K98" s="157"/>
      <c r="L98" s="102"/>
      <c r="M98" s="102"/>
    </row>
    <row r="99" spans="1:16" ht="18" x14ac:dyDescent="0.35">
      <c r="A99" s="18" t="s">
        <v>249</v>
      </c>
      <c r="B99" s="34">
        <f>B30*SUM(B93,B85,B79)</f>
        <v>5.8869196762638758</v>
      </c>
      <c r="C99" s="156" t="s">
        <v>24</v>
      </c>
      <c r="D99" s="154" t="s">
        <v>243</v>
      </c>
      <c r="E99" s="154" t="s">
        <v>248</v>
      </c>
      <c r="F99" s="154"/>
      <c r="G99" s="154"/>
      <c r="H99" s="154"/>
      <c r="I99" s="8"/>
      <c r="J99" s="154"/>
      <c r="K99" s="8"/>
      <c r="L99" s="102"/>
      <c r="M99" s="102"/>
    </row>
    <row r="100" spans="1:16" x14ac:dyDescent="0.25">
      <c r="A100" s="6"/>
      <c r="B100" s="113" t="str">
        <f>IF(B99&lt;B98,"Verificado","Deformação Excessivo")</f>
        <v>Verificado</v>
      </c>
      <c r="C100" s="114"/>
      <c r="D100" s="154"/>
      <c r="E100" s="154"/>
      <c r="F100" s="154"/>
      <c r="G100" s="154"/>
      <c r="H100" s="154"/>
      <c r="I100" s="8"/>
      <c r="J100" s="154"/>
      <c r="K100" s="8"/>
      <c r="L100" s="102"/>
      <c r="M100" s="102"/>
    </row>
    <row r="101" spans="1:16" ht="18" x14ac:dyDescent="0.35">
      <c r="A101" s="6"/>
      <c r="B101" s="154"/>
      <c r="C101" s="154"/>
      <c r="D101" s="154"/>
      <c r="E101" s="160" t="s">
        <v>254</v>
      </c>
      <c r="F101" s="115">
        <f>B99/B98</f>
        <v>0.84098852518055367</v>
      </c>
      <c r="G101" s="115"/>
      <c r="H101" s="154"/>
      <c r="I101" s="8"/>
      <c r="J101" s="154"/>
      <c r="K101" s="8"/>
      <c r="M101" s="17"/>
      <c r="N101" s="17"/>
    </row>
    <row r="102" spans="1:16" x14ac:dyDescent="0.25">
      <c r="A102" s="15"/>
      <c r="B102" s="7"/>
      <c r="C102" s="7"/>
      <c r="D102" s="7"/>
      <c r="E102" s="7"/>
      <c r="F102" s="7"/>
      <c r="G102" s="7"/>
      <c r="H102" s="7"/>
      <c r="I102" s="16"/>
      <c r="J102" s="7"/>
      <c r="K102" s="16"/>
      <c r="M102" s="17"/>
      <c r="N102" s="17"/>
    </row>
    <row r="103" spans="1:16" x14ac:dyDescent="0.25">
      <c r="A103" s="60" t="s">
        <v>263</v>
      </c>
      <c r="B103" s="27"/>
      <c r="C103" s="27"/>
      <c r="D103" s="53"/>
      <c r="E103" s="61"/>
      <c r="F103" s="52"/>
      <c r="G103" s="52"/>
      <c r="H103" s="52"/>
      <c r="I103" s="54"/>
      <c r="J103" s="52"/>
      <c r="K103" s="54"/>
      <c r="M103" s="17"/>
      <c r="N103" s="17"/>
    </row>
    <row r="104" spans="1:16" x14ac:dyDescent="0.25">
      <c r="A104" s="3"/>
      <c r="B104" s="4"/>
      <c r="C104" s="4"/>
      <c r="D104" s="4"/>
      <c r="E104" s="4"/>
      <c r="F104" s="4"/>
      <c r="G104" s="4"/>
      <c r="H104" s="4"/>
      <c r="I104" s="5"/>
      <c r="J104" s="4"/>
      <c r="K104" s="5"/>
    </row>
    <row r="105" spans="1:16" ht="14.25" customHeight="1" x14ac:dyDescent="0.35">
      <c r="A105" s="18" t="s">
        <v>265</v>
      </c>
      <c r="B105" s="34">
        <v>1.3</v>
      </c>
      <c r="C105" s="156" t="s">
        <v>24</v>
      </c>
      <c r="D105" s="154" t="s">
        <v>266</v>
      </c>
      <c r="E105" s="163" t="s">
        <v>267</v>
      </c>
      <c r="F105" s="154"/>
      <c r="G105" s="154"/>
      <c r="H105" s="154"/>
      <c r="I105" s="8"/>
      <c r="J105" s="154"/>
      <c r="K105" s="8"/>
      <c r="M105" s="167" t="s">
        <v>319</v>
      </c>
    </row>
    <row r="106" spans="1:16" ht="18" x14ac:dyDescent="0.35">
      <c r="A106" s="18" t="s">
        <v>264</v>
      </c>
      <c r="B106" s="34">
        <f>MAX((B105*B15*2*B52*B7*B31)/(B78*B8)*10^3,2)</f>
        <v>2.6043061333813418</v>
      </c>
      <c r="C106" s="156" t="s">
        <v>39</v>
      </c>
      <c r="D106" s="154" t="s">
        <v>266</v>
      </c>
      <c r="E106" s="154" t="s">
        <v>312</v>
      </c>
      <c r="F106" s="154"/>
      <c r="G106" s="154"/>
      <c r="H106" s="154"/>
      <c r="I106" s="8"/>
      <c r="J106" s="154"/>
      <c r="K106" s="8"/>
    </row>
    <row r="107" spans="1:16" x14ac:dyDescent="0.25">
      <c r="A107" s="6"/>
      <c r="B107" s="113" t="str">
        <f>IF(B106&lt;B52,"Verificado","Espessura insuficiente")</f>
        <v>Verificado</v>
      </c>
      <c r="C107" s="114"/>
      <c r="D107" s="154"/>
      <c r="E107" s="154"/>
      <c r="F107" s="154"/>
      <c r="G107" s="154"/>
      <c r="H107" s="154"/>
      <c r="I107" s="8"/>
      <c r="J107" s="154"/>
      <c r="K107" s="8"/>
    </row>
    <row r="108" spans="1:16" x14ac:dyDescent="0.25">
      <c r="A108" s="6"/>
      <c r="B108" s="154"/>
      <c r="C108" s="154"/>
      <c r="D108" s="154"/>
      <c r="E108" s="160" t="s">
        <v>270</v>
      </c>
      <c r="F108" s="115">
        <f>B106/B52</f>
        <v>0.21702551111511181</v>
      </c>
      <c r="G108" s="115"/>
      <c r="H108" s="154"/>
      <c r="I108" s="8"/>
      <c r="J108" s="154"/>
      <c r="K108" s="8"/>
    </row>
    <row r="109" spans="1:16" x14ac:dyDescent="0.25">
      <c r="A109" s="15"/>
      <c r="B109" s="7"/>
      <c r="C109" s="7"/>
      <c r="D109" s="7"/>
      <c r="E109" s="7"/>
      <c r="F109" s="7"/>
      <c r="G109" s="7"/>
      <c r="H109" s="7"/>
      <c r="I109" s="16"/>
      <c r="J109" s="7"/>
      <c r="K109" s="16"/>
    </row>
    <row r="110" spans="1:16" x14ac:dyDescent="0.25">
      <c r="A110" s="60" t="s">
        <v>280</v>
      </c>
      <c r="B110" s="27"/>
      <c r="C110" s="27"/>
      <c r="D110" s="53"/>
      <c r="E110" s="61"/>
      <c r="F110" s="52"/>
      <c r="G110" s="52"/>
      <c r="H110" s="52"/>
      <c r="I110" s="54"/>
      <c r="J110" s="52"/>
      <c r="K110" s="54"/>
    </row>
    <row r="111" spans="1:16" x14ac:dyDescent="0.25">
      <c r="A111" s="3"/>
      <c r="B111" s="4"/>
      <c r="C111" s="4"/>
      <c r="D111" s="4"/>
      <c r="E111" s="4"/>
      <c r="F111" s="4"/>
      <c r="G111" s="4"/>
      <c r="H111" s="4"/>
      <c r="I111" s="5"/>
      <c r="J111" s="4"/>
      <c r="K111" s="5"/>
    </row>
    <row r="112" spans="1:16" ht="18" x14ac:dyDescent="0.35">
      <c r="A112" s="18" t="s">
        <v>278</v>
      </c>
      <c r="B112" s="34">
        <f>(B47*B24+B48*B25)/B32</f>
        <v>0.13066666666666668</v>
      </c>
      <c r="C112" s="156" t="s">
        <v>39</v>
      </c>
      <c r="D112" s="154" t="s">
        <v>266</v>
      </c>
      <c r="E112" s="163" t="s">
        <v>267</v>
      </c>
      <c r="F112" s="154"/>
      <c r="G112" s="154"/>
      <c r="H112" s="154"/>
      <c r="I112" s="8"/>
      <c r="J112" s="154"/>
      <c r="K112" s="8"/>
      <c r="M112" s="167" t="s">
        <v>319</v>
      </c>
    </row>
    <row r="113" spans="1:13" ht="18" x14ac:dyDescent="0.35">
      <c r="A113" s="18" t="s">
        <v>277</v>
      </c>
      <c r="B113" s="34">
        <f>B13*B52/B53*(1/B4+1/(5*B23*B54^2))*(B50-1)*10^3</f>
        <v>2.1231778875253506</v>
      </c>
      <c r="C113" s="156" t="s">
        <v>39</v>
      </c>
      <c r="D113" s="154" t="s">
        <v>279</v>
      </c>
      <c r="E113" s="154" t="s">
        <v>281</v>
      </c>
      <c r="F113" s="154"/>
      <c r="G113" s="154"/>
      <c r="H113" s="154"/>
      <c r="I113" s="8"/>
      <c r="J113" s="154"/>
      <c r="K113" s="8"/>
    </row>
    <row r="114" spans="1:13" x14ac:dyDescent="0.25">
      <c r="A114" s="6"/>
      <c r="B114" s="113" t="str">
        <f>IF(B113&gt;B112,"Verificado","Deslocamento Incompatível")</f>
        <v>Verificado</v>
      </c>
      <c r="C114" s="114"/>
      <c r="D114" s="154"/>
      <c r="E114" s="154"/>
      <c r="F114" s="154"/>
      <c r="G114" s="154"/>
      <c r="H114" s="154"/>
      <c r="I114" s="8"/>
      <c r="J114" s="154"/>
      <c r="K114" s="8"/>
    </row>
    <row r="115" spans="1:13" x14ac:dyDescent="0.25">
      <c r="A115" s="6"/>
      <c r="B115" s="154"/>
      <c r="C115" s="154"/>
      <c r="D115" s="154"/>
      <c r="E115" s="160" t="s">
        <v>270</v>
      </c>
      <c r="F115" s="115">
        <f>B112/B113</f>
        <v>6.1542966999794793E-2</v>
      </c>
      <c r="G115" s="115"/>
      <c r="H115" s="154"/>
      <c r="I115" s="8"/>
      <c r="J115" s="154"/>
      <c r="K115" s="8"/>
    </row>
    <row r="116" spans="1:13" x14ac:dyDescent="0.25">
      <c r="A116" s="15"/>
      <c r="B116" s="7"/>
      <c r="C116" s="7"/>
      <c r="D116" s="7"/>
      <c r="E116" s="7"/>
      <c r="F116" s="7"/>
      <c r="G116" s="7"/>
      <c r="H116" s="7"/>
      <c r="I116" s="16"/>
      <c r="J116" s="7"/>
      <c r="K116" s="16"/>
    </row>
    <row r="117" spans="1:13" x14ac:dyDescent="0.25">
      <c r="A117" s="60" t="s">
        <v>285</v>
      </c>
      <c r="B117" s="27"/>
      <c r="C117" s="27"/>
      <c r="D117" s="53"/>
      <c r="E117" s="61"/>
      <c r="F117" s="52"/>
      <c r="G117" s="52"/>
      <c r="H117" s="52"/>
      <c r="I117" s="54"/>
      <c r="J117" s="52"/>
      <c r="K117" s="54"/>
    </row>
    <row r="118" spans="1:13" x14ac:dyDescent="0.25">
      <c r="A118" s="3"/>
      <c r="B118" s="4"/>
      <c r="C118" s="4"/>
      <c r="D118" s="4"/>
      <c r="E118" s="4"/>
      <c r="F118" s="4"/>
      <c r="G118" s="4"/>
      <c r="H118" s="4"/>
      <c r="I118" s="5"/>
      <c r="J118" s="4"/>
      <c r="K118" s="5"/>
    </row>
    <row r="119" spans="1:13" ht="18" x14ac:dyDescent="0.35">
      <c r="A119" s="18" t="s">
        <v>296</v>
      </c>
      <c r="B119" s="34">
        <f>B15/B78*10^3</f>
        <v>17.528983590066723</v>
      </c>
      <c r="C119" s="156" t="s">
        <v>20</v>
      </c>
      <c r="D119" s="154" t="s">
        <v>279</v>
      </c>
      <c r="E119" s="154" t="s">
        <v>286</v>
      </c>
      <c r="F119" s="154"/>
      <c r="G119" s="154"/>
      <c r="H119" s="154"/>
      <c r="I119" s="8"/>
      <c r="J119" s="154"/>
      <c r="K119" s="8"/>
      <c r="M119" s="167" t="s">
        <v>319</v>
      </c>
    </row>
    <row r="120" spans="1:13" ht="18" x14ac:dyDescent="0.35">
      <c r="A120" s="6" t="s">
        <v>287</v>
      </c>
      <c r="B120" s="34">
        <f>2*B47*B23*B54/(3*B43)</f>
        <v>32.893616428820046</v>
      </c>
      <c r="C120" s="156" t="s">
        <v>20</v>
      </c>
      <c r="D120" s="154" t="s">
        <v>279</v>
      </c>
      <c r="E120" s="154" t="s">
        <v>331</v>
      </c>
      <c r="F120" s="154"/>
      <c r="G120" s="154"/>
      <c r="H120" s="154"/>
      <c r="I120" s="8"/>
      <c r="J120" s="154"/>
      <c r="K120" s="8"/>
    </row>
    <row r="121" spans="1:13" x14ac:dyDescent="0.25">
      <c r="A121" s="6"/>
      <c r="B121" s="113" t="str">
        <f>IF(B120&gt;B119,"Verificado","Deslocamento Incompatível")</f>
        <v>Verificado</v>
      </c>
      <c r="C121" s="114"/>
      <c r="D121" s="154"/>
      <c r="E121" s="154"/>
      <c r="F121" s="154"/>
      <c r="G121" s="154"/>
      <c r="H121" s="154"/>
      <c r="I121" s="8"/>
      <c r="J121" s="154"/>
      <c r="K121" s="8"/>
    </row>
    <row r="122" spans="1:13" x14ac:dyDescent="0.25">
      <c r="A122" s="6"/>
      <c r="B122" s="154"/>
      <c r="C122" s="154"/>
      <c r="D122" s="154"/>
      <c r="E122" s="160" t="s">
        <v>270</v>
      </c>
      <c r="F122" s="115">
        <f>B119/B120</f>
        <v>0.53289925198703725</v>
      </c>
      <c r="G122" s="115"/>
      <c r="H122" s="154"/>
      <c r="I122" s="8"/>
      <c r="J122" s="154"/>
      <c r="K122" s="8"/>
    </row>
    <row r="123" spans="1:13" x14ac:dyDescent="0.25">
      <c r="A123" s="15"/>
      <c r="B123" s="7"/>
      <c r="C123" s="7"/>
      <c r="D123" s="7"/>
      <c r="E123" s="7"/>
      <c r="F123" s="7"/>
      <c r="G123" s="7"/>
      <c r="H123" s="7"/>
      <c r="I123" s="16"/>
      <c r="J123" s="7"/>
      <c r="K123" s="16"/>
    </row>
    <row r="124" spans="1:13" x14ac:dyDescent="0.25">
      <c r="A124" s="60" t="s">
        <v>288</v>
      </c>
      <c r="B124" s="27"/>
      <c r="C124" s="27"/>
      <c r="D124" s="53" t="s">
        <v>300</v>
      </c>
      <c r="E124" s="61"/>
      <c r="F124" s="52"/>
      <c r="G124" s="52"/>
      <c r="H124" s="52"/>
      <c r="I124" s="54"/>
      <c r="J124" s="52"/>
      <c r="K124" s="54"/>
    </row>
    <row r="125" spans="1:13" x14ac:dyDescent="0.25">
      <c r="A125" s="67" t="s">
        <v>309</v>
      </c>
      <c r="B125" s="68"/>
      <c r="C125" s="68"/>
      <c r="D125" s="69"/>
      <c r="E125" s="70"/>
      <c r="F125" s="71"/>
      <c r="G125" s="71"/>
      <c r="H125" s="71"/>
      <c r="I125" s="72"/>
      <c r="J125" s="71"/>
      <c r="K125" s="72"/>
    </row>
    <row r="126" spans="1:13" x14ac:dyDescent="0.25">
      <c r="A126" s="3"/>
      <c r="B126" s="4"/>
      <c r="C126" s="4"/>
      <c r="D126" s="4"/>
      <c r="E126" s="4"/>
      <c r="F126" s="4"/>
      <c r="G126" s="4"/>
      <c r="H126" s="4"/>
      <c r="I126" s="5"/>
      <c r="J126" s="4"/>
      <c r="K126" s="5"/>
      <c r="M126" s="167" t="s">
        <v>319</v>
      </c>
    </row>
    <row r="127" spans="1:13" ht="18" x14ac:dyDescent="0.35">
      <c r="A127" s="18" t="s">
        <v>311</v>
      </c>
      <c r="B127" s="34">
        <v>3.0000000000000001E-3</v>
      </c>
      <c r="C127" s="156" t="s">
        <v>20</v>
      </c>
      <c r="D127" s="154" t="s">
        <v>279</v>
      </c>
      <c r="E127" s="154" t="s">
        <v>332</v>
      </c>
      <c r="F127" s="154"/>
      <c r="G127" s="154"/>
      <c r="H127" s="154"/>
      <c r="I127" s="8"/>
      <c r="J127" s="154"/>
      <c r="K127" s="8"/>
    </row>
    <row r="128" spans="1:13" ht="18" x14ac:dyDescent="0.35">
      <c r="A128" s="18" t="s">
        <v>109</v>
      </c>
      <c r="B128" s="34">
        <f>MAX(B14/B78*10^3,3*10^-3)</f>
        <v>4.6743956240177926</v>
      </c>
      <c r="C128" s="156" t="s">
        <v>20</v>
      </c>
      <c r="D128" s="154" t="s">
        <v>279</v>
      </c>
      <c r="E128" s="154" t="s">
        <v>333</v>
      </c>
      <c r="F128" s="154"/>
      <c r="G128" s="154"/>
      <c r="H128" s="154"/>
      <c r="I128" s="8"/>
      <c r="J128" s="154"/>
      <c r="K128" s="8"/>
    </row>
    <row r="129" spans="1:14" x14ac:dyDescent="0.25">
      <c r="A129" s="6"/>
      <c r="B129" s="113" t="str">
        <f>IF(B128&gt;B127,"Verificado","Deslocamento Incompatível")</f>
        <v>Verificado</v>
      </c>
      <c r="C129" s="114"/>
      <c r="D129" s="154"/>
      <c r="E129" s="154"/>
      <c r="F129" s="154"/>
      <c r="G129" s="154"/>
      <c r="H129" s="154"/>
      <c r="I129" s="8"/>
      <c r="J129" s="154"/>
      <c r="K129" s="8"/>
    </row>
    <row r="130" spans="1:14" x14ac:dyDescent="0.25">
      <c r="A130" s="6"/>
      <c r="B130" s="154"/>
      <c r="C130" s="154"/>
      <c r="D130" s="154"/>
      <c r="E130" s="160" t="s">
        <v>270</v>
      </c>
      <c r="F130" s="115">
        <f>B127/B128</f>
        <v>6.4179419999999996E-4</v>
      </c>
      <c r="G130" s="115"/>
      <c r="H130" s="154"/>
      <c r="I130" s="8"/>
      <c r="J130" s="154"/>
      <c r="K130" s="8"/>
    </row>
    <row r="131" spans="1:14" x14ac:dyDescent="0.25">
      <c r="A131" s="15"/>
      <c r="B131" s="7"/>
      <c r="C131" s="7"/>
      <c r="D131" s="7"/>
      <c r="E131" s="7"/>
      <c r="F131" s="7"/>
      <c r="G131" s="7"/>
      <c r="H131" s="7"/>
      <c r="I131" s="16"/>
      <c r="J131" s="7"/>
      <c r="K131" s="16"/>
    </row>
    <row r="132" spans="1:14" ht="15" customHeight="1" x14ac:dyDescent="0.25">
      <c r="A132" s="67" t="s">
        <v>310</v>
      </c>
      <c r="B132" s="68"/>
      <c r="C132" s="68"/>
      <c r="D132" s="69"/>
      <c r="E132" s="70"/>
      <c r="F132" s="71"/>
      <c r="G132" s="71"/>
      <c r="H132" s="71"/>
      <c r="I132" s="72"/>
      <c r="J132" s="71"/>
      <c r="K132" s="72"/>
    </row>
    <row r="133" spans="1:14" x14ac:dyDescent="0.25">
      <c r="A133" s="3"/>
      <c r="B133" s="4"/>
      <c r="C133" s="4"/>
      <c r="D133" s="4"/>
      <c r="E133" s="4"/>
      <c r="F133" s="4"/>
      <c r="G133" s="4"/>
      <c r="H133" s="4"/>
      <c r="I133" s="5"/>
      <c r="J133" s="3"/>
      <c r="K133" s="5"/>
    </row>
    <row r="134" spans="1:14" ht="18" x14ac:dyDescent="0.35">
      <c r="A134" s="18" t="s">
        <v>293</v>
      </c>
      <c r="B134" s="34">
        <f>SQRT(B17^2+B18^2)</f>
        <v>132.38202294873727</v>
      </c>
      <c r="C134" s="156" t="s">
        <v>294</v>
      </c>
      <c r="D134" s="154" t="s">
        <v>279</v>
      </c>
      <c r="E134" s="154" t="s">
        <v>295</v>
      </c>
      <c r="F134" s="154"/>
      <c r="G134" s="154"/>
      <c r="H134" s="154"/>
      <c r="I134" s="8"/>
      <c r="J134" s="6"/>
      <c r="K134" s="8"/>
      <c r="M134" s="167" t="s">
        <v>319</v>
      </c>
    </row>
    <row r="135" spans="1:14" ht="18" x14ac:dyDescent="0.35">
      <c r="A135" s="18" t="s">
        <v>302</v>
      </c>
      <c r="B135" s="34">
        <f>VLOOKUP(D124,M137:N138,2,FALSE)</f>
        <v>0.6</v>
      </c>
      <c r="C135" s="156" t="s">
        <v>24</v>
      </c>
      <c r="D135" s="154" t="s">
        <v>279</v>
      </c>
      <c r="E135" s="154" t="s">
        <v>303</v>
      </c>
      <c r="F135" s="154"/>
      <c r="G135" s="154"/>
      <c r="H135" s="154"/>
      <c r="I135" s="8"/>
      <c r="J135" s="6"/>
      <c r="K135" s="8"/>
    </row>
    <row r="136" spans="1:14" x14ac:dyDescent="0.25">
      <c r="A136" s="6"/>
      <c r="B136" s="154"/>
      <c r="C136" s="154"/>
      <c r="D136" s="154"/>
      <c r="E136" s="154"/>
      <c r="F136" s="154"/>
      <c r="G136" s="154"/>
      <c r="H136" s="154"/>
      <c r="I136" s="8"/>
      <c r="J136" s="6"/>
      <c r="K136" s="8"/>
      <c r="M136" s="66" t="s">
        <v>299</v>
      </c>
      <c r="N136" s="66" t="s">
        <v>260</v>
      </c>
    </row>
    <row r="137" spans="1:14" ht="18" x14ac:dyDescent="0.35">
      <c r="A137" s="18" t="s">
        <v>297</v>
      </c>
      <c r="B137" s="34">
        <f>0.1+1.5*B135/B128</f>
        <v>0.29253825999999999</v>
      </c>
      <c r="C137" s="156" t="s">
        <v>24</v>
      </c>
      <c r="D137" s="154" t="s">
        <v>279</v>
      </c>
      <c r="E137" s="154" t="s">
        <v>298</v>
      </c>
      <c r="F137" s="154"/>
      <c r="G137" s="154"/>
      <c r="H137" s="154"/>
      <c r="I137" s="8"/>
      <c r="J137" s="6"/>
      <c r="K137" s="8"/>
      <c r="M137" s="1" t="s">
        <v>300</v>
      </c>
      <c r="N137" s="1">
        <v>0.6</v>
      </c>
    </row>
    <row r="138" spans="1:14" ht="18" x14ac:dyDescent="0.35">
      <c r="A138" s="18" t="s">
        <v>308</v>
      </c>
      <c r="B138" s="34">
        <f>B137*B14</f>
        <v>234.030608</v>
      </c>
      <c r="C138" s="156" t="s">
        <v>294</v>
      </c>
      <c r="D138" s="154" t="s">
        <v>279</v>
      </c>
      <c r="E138" s="154" t="s">
        <v>307</v>
      </c>
      <c r="F138" s="154"/>
      <c r="G138" s="154"/>
      <c r="H138" s="154"/>
      <c r="I138" s="8"/>
      <c r="J138" s="6"/>
      <c r="K138" s="8"/>
      <c r="M138" s="1" t="s">
        <v>301</v>
      </c>
      <c r="N138" s="1">
        <v>0.2</v>
      </c>
    </row>
    <row r="139" spans="1:14" x14ac:dyDescent="0.25">
      <c r="A139" s="6"/>
      <c r="B139" s="113" t="str">
        <f>IF(B138&gt;B134,"Verificado","Apoio Instável")</f>
        <v>Verificado</v>
      </c>
      <c r="C139" s="114"/>
      <c r="D139" s="154"/>
      <c r="E139" s="154"/>
      <c r="F139" s="154"/>
      <c r="G139" s="154"/>
      <c r="H139" s="154"/>
      <c r="I139" s="8"/>
      <c r="J139" s="6"/>
      <c r="K139" s="8"/>
      <c r="M139" s="137" t="s">
        <v>279</v>
      </c>
      <c r="N139" s="139"/>
    </row>
    <row r="140" spans="1:14" x14ac:dyDescent="0.25">
      <c r="A140" s="6"/>
      <c r="B140" s="154"/>
      <c r="C140" s="154"/>
      <c r="D140" s="154"/>
      <c r="E140" s="160" t="s">
        <v>270</v>
      </c>
      <c r="F140" s="115">
        <f>B134/B138</f>
        <v>0.56566115039421372</v>
      </c>
      <c r="G140" s="115"/>
      <c r="H140" s="154"/>
      <c r="I140" s="8"/>
      <c r="J140" s="6"/>
      <c r="K140" s="8"/>
      <c r="M140" s="143"/>
      <c r="N140" s="145"/>
    </row>
    <row r="141" spans="1:14" x14ac:dyDescent="0.25">
      <c r="A141" s="15"/>
      <c r="B141" s="7"/>
      <c r="C141" s="7"/>
      <c r="D141" s="7"/>
      <c r="E141" s="7"/>
      <c r="F141" s="7"/>
      <c r="G141" s="7"/>
      <c r="H141" s="7"/>
      <c r="I141" s="16"/>
      <c r="J141" s="15"/>
      <c r="K141" s="16"/>
    </row>
  </sheetData>
  <mergeCells count="30">
    <mergeCell ref="B107:C107"/>
    <mergeCell ref="F108:G108"/>
    <mergeCell ref="P50:Q51"/>
    <mergeCell ref="B114:C114"/>
    <mergeCell ref="F115:G115"/>
    <mergeCell ref="U8:Y8"/>
    <mergeCell ref="B86:C86"/>
    <mergeCell ref="F87:G87"/>
    <mergeCell ref="B100:C100"/>
    <mergeCell ref="F101:G101"/>
    <mergeCell ref="M50:N51"/>
    <mergeCell ref="A1:B1"/>
    <mergeCell ref="M1:Q1"/>
    <mergeCell ref="U1:W1"/>
    <mergeCell ref="AC1:AD1"/>
    <mergeCell ref="A2:B2"/>
    <mergeCell ref="M11:Q11"/>
    <mergeCell ref="M21:P21"/>
    <mergeCell ref="O23:P23"/>
    <mergeCell ref="O24:P24"/>
    <mergeCell ref="M28:N29"/>
    <mergeCell ref="M43:O44"/>
    <mergeCell ref="A74:B74"/>
    <mergeCell ref="B121:C121"/>
    <mergeCell ref="F122:G122"/>
    <mergeCell ref="M139:N140"/>
    <mergeCell ref="B139:C139"/>
    <mergeCell ref="F140:G140"/>
    <mergeCell ref="B129:C129"/>
    <mergeCell ref="F130:G130"/>
  </mergeCells>
  <conditionalFormatting sqref="N12:N18">
    <cfRule type="cellIs" dxfId="13" priority="15" operator="greaterThan">
      <formula>1</formula>
    </cfRule>
    <cfRule type="cellIs" dxfId="12" priority="16" operator="between">
      <formula>0.80000000001</formula>
      <formula>1</formula>
    </cfRule>
    <cfRule type="cellIs" dxfId="11" priority="17" operator="between">
      <formula>0.60000001</formula>
      <formula>0.8</formula>
    </cfRule>
    <cfRule type="cellIs" dxfId="10" priority="18" operator="between">
      <formula>0.400000001</formula>
      <formula>0.6</formula>
    </cfRule>
    <cfRule type="cellIs" dxfId="9" priority="19" operator="between">
      <formula>0.2000000000001</formula>
      <formula>0.4</formula>
    </cfRule>
    <cfRule type="cellIs" dxfId="8" priority="20" operator="lessThan">
      <formula>0.2</formula>
    </cfRule>
  </conditionalFormatting>
  <conditionalFormatting sqref="N25">
    <cfRule type="expression" dxfId="7" priority="9">
      <formula>$N$24="Sim"</formula>
    </cfRule>
  </conditionalFormatting>
  <conditionalFormatting sqref="B86:C86">
    <cfRule type="containsText" dxfId="6" priority="8" operator="containsText" text="Verificado">
      <formula>NOT(ISERROR(SEARCH("Verificado",B86)))</formula>
    </cfRule>
  </conditionalFormatting>
  <conditionalFormatting sqref="B100:C100">
    <cfRule type="containsText" dxfId="5" priority="7" operator="containsText" text="Verificado">
      <formula>NOT(ISERROR(SEARCH("Verificado",B100)))</formula>
    </cfRule>
  </conditionalFormatting>
  <conditionalFormatting sqref="B107:C107">
    <cfRule type="containsText" dxfId="4" priority="6" operator="containsText" text="Verificado">
      <formula>NOT(ISERROR(SEARCH("Verificado",B107)))</formula>
    </cfRule>
  </conditionalFormatting>
  <conditionalFormatting sqref="B114:C114">
    <cfRule type="containsText" dxfId="3" priority="4" operator="containsText" text="Verificado">
      <formula>NOT(ISERROR(SEARCH("Verificado",B114)))</formula>
    </cfRule>
  </conditionalFormatting>
  <conditionalFormatting sqref="B121:C121">
    <cfRule type="containsText" dxfId="2" priority="3" operator="containsText" text="Verificado">
      <formula>NOT(ISERROR(SEARCH("Verificado",B121)))</formula>
    </cfRule>
  </conditionalFormatting>
  <conditionalFormatting sqref="B139:C139">
    <cfRule type="containsText" dxfId="1" priority="2" operator="containsText" text="Verificado">
      <formula>NOT(ISERROR(SEARCH("Verificado",B139)))</formula>
    </cfRule>
  </conditionalFormatting>
  <conditionalFormatting sqref="B129:C129">
    <cfRule type="containsText" dxfId="0" priority="1" operator="containsText" text="Verificado">
      <formula>NOT(ISERROR(SEARCH("Verificado",B129)))</formula>
    </cfRule>
  </conditionalFormatting>
  <dataValidations disablePrompts="1" count="6">
    <dataValidation type="list" allowBlank="1" showInputMessage="1" showErrorMessage="1" sqref="D34:D35 D45" xr:uid="{3572F61E-FDF6-44B7-A5CD-A397157FF159}">
      <formula1>$M$107:$M$108</formula1>
    </dataValidation>
    <dataValidation type="list" allowBlank="1" showInputMessage="1" showErrorMessage="1" sqref="D20" xr:uid="{712A192F-92D5-4DB2-90E7-9746E921CA33}">
      <formula1>$M$40:$M$42</formula1>
    </dataValidation>
    <dataValidation type="list" allowBlank="1" showInputMessage="1" showErrorMessage="1" sqref="D27" xr:uid="{2DB9E6F0-6D4F-4157-BA66-962B53577B16}">
      <formula1>$M$48:$M$49</formula1>
    </dataValidation>
    <dataValidation type="list" allowBlank="1" showInputMessage="1" showErrorMessage="1" sqref="D28" xr:uid="{9012DCF6-7E3D-452E-A1F3-D3A5D0428E03}">
      <formula1>$P$48:$P$49</formula1>
    </dataValidation>
    <dataValidation type="list" allowBlank="1" showInputMessage="1" showErrorMessage="1" sqref="N24" xr:uid="{6A599504-988B-4435-934D-40D7EF59EA7A}">
      <formula1>$Q$34:$Q$35</formula1>
    </dataValidation>
    <dataValidation type="list" allowBlank="1" showInputMessage="1" showErrorMessage="1" sqref="D124" xr:uid="{BB0BA8CD-AF67-444F-A707-2FEAEE118A43}">
      <formula1>$M$137:$M$138</formula1>
    </dataValidation>
  </dataValidations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E08D-8057-4527-BD7A-5D79CD19251A}">
  <sheetPr codeName="Planilha2"/>
  <dimension ref="A2:W291"/>
  <sheetViews>
    <sheetView topLeftCell="D1" workbookViewId="0">
      <selection activeCell="AA21" sqref="AA21"/>
    </sheetView>
  </sheetViews>
  <sheetFormatPr defaultRowHeight="15" x14ac:dyDescent="0.25"/>
  <cols>
    <col min="1" max="1" width="3" bestFit="1" customWidth="1"/>
    <col min="17" max="17" width="3" bestFit="1" customWidth="1"/>
  </cols>
  <sheetData>
    <row r="2" spans="1:23" x14ac:dyDescent="0.25">
      <c r="A2" s="146" t="s">
        <v>179</v>
      </c>
      <c r="B2" s="146"/>
      <c r="C2" s="146"/>
      <c r="D2" s="132" t="s">
        <v>212</v>
      </c>
      <c r="E2" s="133"/>
      <c r="F2" t="s">
        <v>181</v>
      </c>
      <c r="Q2" s="146" t="s">
        <v>179</v>
      </c>
      <c r="R2" s="146"/>
      <c r="S2" s="146"/>
      <c r="T2" s="132" t="s">
        <v>212</v>
      </c>
      <c r="U2" s="133"/>
      <c r="V2" t="s">
        <v>181</v>
      </c>
    </row>
    <row r="3" spans="1:23" x14ac:dyDescent="0.25">
      <c r="A3" s="1" t="s">
        <v>178</v>
      </c>
      <c r="B3" s="1" t="s">
        <v>56</v>
      </c>
      <c r="C3" s="1" t="s">
        <v>177</v>
      </c>
      <c r="D3" s="1" t="s">
        <v>56</v>
      </c>
      <c r="E3" s="1" t="s">
        <v>177</v>
      </c>
      <c r="F3" s="84" t="s">
        <v>182</v>
      </c>
      <c r="G3" s="85">
        <f>('Cálculos NBR9062 2017'!B31-'Cálculos NBR9062 2017'!B40)/2</f>
        <v>4</v>
      </c>
      <c r="Q3" s="1" t="s">
        <v>178</v>
      </c>
      <c r="R3" s="1" t="s">
        <v>56</v>
      </c>
      <c r="S3" s="1" t="s">
        <v>177</v>
      </c>
      <c r="T3" s="1" t="s">
        <v>56</v>
      </c>
      <c r="U3" s="1" t="s">
        <v>177</v>
      </c>
      <c r="V3" s="84" t="s">
        <v>182</v>
      </c>
      <c r="W3" s="85">
        <f>('Cálculos Eurocode'!$B$37-'Cálculos Eurocode'!$B$47)/2</f>
        <v>4</v>
      </c>
    </row>
    <row r="4" spans="1:23" x14ac:dyDescent="0.25">
      <c r="A4" s="1">
        <v>1</v>
      </c>
      <c r="B4" s="1">
        <v>0</v>
      </c>
      <c r="C4" s="1">
        <v>0</v>
      </c>
      <c r="D4" s="103">
        <f>B4+'Cálculos NBR9062 2017'!$B$86*E4/'Cálculos NBR9062 2017'!$B$36</f>
        <v>0</v>
      </c>
      <c r="E4" s="2">
        <f>C4</f>
        <v>0</v>
      </c>
      <c r="Q4" s="1">
        <v>1</v>
      </c>
      <c r="R4" s="1">
        <v>0</v>
      </c>
      <c r="S4" s="1">
        <v>0</v>
      </c>
      <c r="T4" s="103">
        <f>R4+'Cálculos NBR9062 2017'!$B$86*U4/'Cálculos NBR9062 2017'!$B$36</f>
        <v>0</v>
      </c>
      <c r="U4" s="2">
        <f>S4</f>
        <v>0</v>
      </c>
    </row>
    <row r="5" spans="1:23" x14ac:dyDescent="0.25">
      <c r="A5" s="1">
        <v>2</v>
      </c>
      <c r="B5" s="1">
        <v>0</v>
      </c>
      <c r="C5" s="30">
        <f>'Cálculos NBR9062 2017'!B36</f>
        <v>57</v>
      </c>
      <c r="D5" s="103">
        <f>B5+'Cálculos NBR9062 2017'!$B$86*E5/'Cálculos NBR9062 2017'!$B$36</f>
        <v>22.165878546540569</v>
      </c>
      <c r="E5" s="2">
        <f t="shared" ref="E5:E8" si="0">C5</f>
        <v>57</v>
      </c>
      <c r="Q5" s="1">
        <v>2</v>
      </c>
      <c r="R5" s="1">
        <v>0</v>
      </c>
      <c r="S5" s="30">
        <f>'Cálculos Eurocode'!$B$42</f>
        <v>89</v>
      </c>
      <c r="T5" s="103">
        <f>R5+'Cálculos NBR9062 2017'!$B$86*U5/'Cálculos NBR9062 2017'!$B$36</f>
        <v>34.609880537580892</v>
      </c>
      <c r="U5" s="2">
        <f t="shared" ref="U5:U8" si="1">S5</f>
        <v>89</v>
      </c>
    </row>
    <row r="6" spans="1:23" x14ac:dyDescent="0.25">
      <c r="A6" s="1">
        <v>3</v>
      </c>
      <c r="B6" s="30">
        <f>'Cálculos NBR9062 2017'!B31</f>
        <v>400</v>
      </c>
      <c r="C6" s="30">
        <f>C5</f>
        <v>57</v>
      </c>
      <c r="D6" s="103">
        <f>B6+'Cálculos NBR9062 2017'!$B$86*E6/'Cálculos NBR9062 2017'!$B$36</f>
        <v>422.16587854654057</v>
      </c>
      <c r="E6" s="2">
        <f t="shared" si="0"/>
        <v>57</v>
      </c>
      <c r="Q6" s="1">
        <v>3</v>
      </c>
      <c r="R6" s="30">
        <f>'Cálculos Eurocode'!$B$37</f>
        <v>400</v>
      </c>
      <c r="S6" s="30">
        <f>S5</f>
        <v>89</v>
      </c>
      <c r="T6" s="103">
        <f>R6+'Cálculos NBR9062 2017'!$B$86*U6/'Cálculos NBR9062 2017'!$B$36</f>
        <v>434.60988053758092</v>
      </c>
      <c r="U6" s="2">
        <f t="shared" si="1"/>
        <v>89</v>
      </c>
    </row>
    <row r="7" spans="1:23" x14ac:dyDescent="0.25">
      <c r="A7" s="1">
        <v>4</v>
      </c>
      <c r="B7" s="30">
        <f>B6</f>
        <v>400</v>
      </c>
      <c r="C7" s="1">
        <v>0</v>
      </c>
      <c r="D7" s="103">
        <f>B7+'Cálculos NBR9062 2017'!$B$86*E7/'Cálculos NBR9062 2017'!$B$36</f>
        <v>400</v>
      </c>
      <c r="E7" s="2">
        <f t="shared" si="0"/>
        <v>0</v>
      </c>
      <c r="Q7" s="1">
        <v>4</v>
      </c>
      <c r="R7" s="30">
        <f>R6</f>
        <v>400</v>
      </c>
      <c r="S7" s="1">
        <v>0</v>
      </c>
      <c r="T7" s="103">
        <f>R7+'Cálculos NBR9062 2017'!$B$86*U7/'Cálculos NBR9062 2017'!$B$36</f>
        <v>400</v>
      </c>
      <c r="U7" s="2">
        <f t="shared" si="1"/>
        <v>0</v>
      </c>
    </row>
    <row r="8" spans="1:23" x14ac:dyDescent="0.25">
      <c r="A8" s="83">
        <v>5</v>
      </c>
      <c r="B8" s="1">
        <v>0</v>
      </c>
      <c r="C8" s="1">
        <v>0</v>
      </c>
      <c r="D8" s="103">
        <f>B8+'Cálculos NBR9062 2017'!$B$86*E8/'Cálculos NBR9062 2017'!$B$36</f>
        <v>0</v>
      </c>
      <c r="E8" s="2">
        <f t="shared" si="0"/>
        <v>0</v>
      </c>
      <c r="Q8" s="83">
        <v>5</v>
      </c>
      <c r="R8" s="1">
        <v>0</v>
      </c>
      <c r="S8" s="1">
        <v>0</v>
      </c>
      <c r="T8" s="103">
        <f>R8+'Cálculos NBR9062 2017'!$B$86*U8/'Cálculos NBR9062 2017'!$B$36</f>
        <v>0</v>
      </c>
      <c r="U8" s="2">
        <f t="shared" si="1"/>
        <v>0</v>
      </c>
    </row>
    <row r="10" spans="1:23" x14ac:dyDescent="0.25">
      <c r="A10" s="151" t="s">
        <v>180</v>
      </c>
      <c r="B10" s="151"/>
      <c r="C10" s="151"/>
      <c r="D10" t="s">
        <v>38</v>
      </c>
      <c r="E10" s="85">
        <f>'Cálculos NBR9062 2017'!B43-1</f>
        <v>3</v>
      </c>
      <c r="Q10" s="151" t="s">
        <v>180</v>
      </c>
      <c r="R10" s="151"/>
      <c r="S10" s="151"/>
      <c r="T10" t="s">
        <v>38</v>
      </c>
      <c r="U10" s="85">
        <f>'Cálculos Eurocode'!$B$50-1</f>
        <v>5</v>
      </c>
    </row>
    <row r="11" spans="1:23" ht="15.75" thickBot="1" x14ac:dyDescent="0.3">
      <c r="A11" s="1" t="s">
        <v>178</v>
      </c>
      <c r="B11" s="80" t="s">
        <v>56</v>
      </c>
      <c r="C11" s="80" t="s">
        <v>177</v>
      </c>
      <c r="D11" s="1" t="s">
        <v>183</v>
      </c>
      <c r="E11" s="1" t="s">
        <v>184</v>
      </c>
      <c r="F11" s="80" t="s">
        <v>56</v>
      </c>
      <c r="G11" s="80" t="s">
        <v>177</v>
      </c>
      <c r="Q11" s="1" t="s">
        <v>178</v>
      </c>
      <c r="R11" s="80" t="s">
        <v>56</v>
      </c>
      <c r="S11" s="80" t="s">
        <v>177</v>
      </c>
      <c r="T11" s="1" t="s">
        <v>183</v>
      </c>
      <c r="U11" s="1" t="s">
        <v>184</v>
      </c>
      <c r="V11" s="80" t="s">
        <v>56</v>
      </c>
      <c r="W11" s="80" t="s">
        <v>177</v>
      </c>
    </row>
    <row r="12" spans="1:23" x14ac:dyDescent="0.25">
      <c r="A12" s="64">
        <v>1</v>
      </c>
      <c r="B12" s="87">
        <f>IF(E12=1,G3,0)</f>
        <v>4</v>
      </c>
      <c r="C12" s="88">
        <f>D12</f>
        <v>2.5</v>
      </c>
      <c r="D12" s="86">
        <f>'Cálculos NBR9062 2017'!B35</f>
        <v>2.5</v>
      </c>
      <c r="E12" s="100">
        <v>1</v>
      </c>
      <c r="F12" s="107">
        <f>B12+'Cálculos NBR9062 2017'!$B$86*C12/'Cálculos NBR9062 2017'!$B$36</f>
        <v>4.9721876555500248</v>
      </c>
      <c r="G12" s="108">
        <f>C12</f>
        <v>2.5</v>
      </c>
      <c r="Q12" s="64">
        <v>1</v>
      </c>
      <c r="R12" s="87">
        <f>IF(U12=1,W3,0)</f>
        <v>4</v>
      </c>
      <c r="S12" s="88">
        <f>T12</f>
        <v>2.5</v>
      </c>
      <c r="T12" s="86">
        <v>2.5</v>
      </c>
      <c r="U12" s="100">
        <v>1</v>
      </c>
      <c r="V12" s="107">
        <f>R12+'Cálculos NBR9062 2017'!$B$86*S12/'Cálculos NBR9062 2017'!$B$36</f>
        <v>4.9721876555500248</v>
      </c>
      <c r="W12" s="108">
        <f>S12</f>
        <v>2.5</v>
      </c>
    </row>
    <row r="13" spans="1:23" x14ac:dyDescent="0.25">
      <c r="A13" s="64">
        <v>2</v>
      </c>
      <c r="B13" s="89">
        <f>IF(E13=1,B14,0)</f>
        <v>396</v>
      </c>
      <c r="C13" s="90">
        <f>IF(E13=1,C12,0)</f>
        <v>2.5</v>
      </c>
      <c r="D13" s="65">
        <f>IF(MOD(A13,5)=0,D12+'Cálculos NBR9062 2017'!$B$45*A13/6,D12)</f>
        <v>2.5</v>
      </c>
      <c r="E13" s="100">
        <f>IF(E12=0,0,IF(MOD(A12,5)=0,IF(A12/5&gt;$E$10,0,1),1))</f>
        <v>1</v>
      </c>
      <c r="F13" s="109">
        <f>B13+'Cálculos NBR9062 2017'!$B$86*C13/'Cálculos NBR9062 2017'!$B$36</f>
        <v>396.97218765555004</v>
      </c>
      <c r="G13" s="110">
        <f t="shared" ref="G13:G76" si="2">C13</f>
        <v>2.5</v>
      </c>
      <c r="Q13" s="64">
        <v>2</v>
      </c>
      <c r="R13" s="89">
        <f>IF(U13=1,R14,0)</f>
        <v>396</v>
      </c>
      <c r="S13" s="90">
        <f>IF(U13=1,S12,0)</f>
        <v>2.5</v>
      </c>
      <c r="T13" s="65">
        <f>IF(MOD(Q13,5)=0,T12+'Cálculos Eurocode'!$B$52*Q13/6,T12)</f>
        <v>2.5</v>
      </c>
      <c r="U13" s="100">
        <f>IF(U12=0,0,IF(MOD(Q12,5)=0,IF(Q12/5&gt;$U$10,0,1),1))</f>
        <v>1</v>
      </c>
      <c r="V13" s="109">
        <f>R13+'Cálculos NBR9062 2017'!$B$86*S13/'Cálculos NBR9062 2017'!$B$36</f>
        <v>396.97218765555004</v>
      </c>
      <c r="W13" s="110">
        <f t="shared" ref="W13:W76" si="3">S13</f>
        <v>2.5</v>
      </c>
    </row>
    <row r="14" spans="1:23" x14ac:dyDescent="0.25">
      <c r="A14" s="64">
        <v>3</v>
      </c>
      <c r="B14" s="89">
        <f>IF(E14=1,B12+'Cálculos NBR9062 2017'!$B$40,0)</f>
        <v>396</v>
      </c>
      <c r="C14" s="91">
        <f>IF(E14=1,'Cálculos NBR9062 2017'!$B$44+C13,0)</f>
        <v>6.5</v>
      </c>
      <c r="D14" s="65">
        <f>IF(MOD(A14,5)=0,D13+'Cálculos NBR9062 2017'!$B$45*A14/6,D13)</f>
        <v>2.5</v>
      </c>
      <c r="E14" s="100">
        <f t="shared" ref="E14:E77" si="4">IF(E13=0,0,IF(MOD(A13,5)=0,IF(A13/5&gt;$E$10,0,1),1))</f>
        <v>1</v>
      </c>
      <c r="F14" s="109">
        <f>B14+'Cálculos NBR9062 2017'!$B$86*C14/'Cálculos NBR9062 2017'!$B$36</f>
        <v>398.52768790443008</v>
      </c>
      <c r="G14" s="110">
        <f t="shared" si="2"/>
        <v>6.5</v>
      </c>
      <c r="Q14" s="64">
        <v>3</v>
      </c>
      <c r="R14" s="89">
        <f>IF(U14=1,R12+'Cálculos Eurocode'!$B$47,0)</f>
        <v>396</v>
      </c>
      <c r="S14" s="91">
        <f>IF(U14=1,'Cálculos Eurocode'!$B$51+S13,0)</f>
        <v>6.5</v>
      </c>
      <c r="T14" s="65">
        <f>IF(MOD(Q14,5)=0,T13+'Cálculos NBR9062 2017'!$B$45*Q14/6,T13)</f>
        <v>2.5</v>
      </c>
      <c r="U14" s="100">
        <f t="shared" ref="U14:U77" si="5">IF(U13=0,0,IF(MOD(Q13,5)=0,IF(Q13/5&gt;$U$10,0,1),1))</f>
        <v>1</v>
      </c>
      <c r="V14" s="109">
        <f>R14+'Cálculos NBR9062 2017'!$B$86*S14/'Cálculos NBR9062 2017'!$B$36</f>
        <v>398.52768790443008</v>
      </c>
      <c r="W14" s="110">
        <f t="shared" si="3"/>
        <v>6.5</v>
      </c>
    </row>
    <row r="15" spans="1:23" x14ac:dyDescent="0.25">
      <c r="A15" s="64">
        <v>4</v>
      </c>
      <c r="B15" s="92">
        <f>IF(E15=1,B12,0)</f>
        <v>4</v>
      </c>
      <c r="C15" s="91">
        <f>IF(E15=1,C14,0)</f>
        <v>6.5</v>
      </c>
      <c r="D15" s="65">
        <f>IF(MOD(A15,5)=0,D14+'Cálculos NBR9062 2017'!$B$45*A15/6,D14)</f>
        <v>2.5</v>
      </c>
      <c r="E15" s="100">
        <f t="shared" si="4"/>
        <v>1</v>
      </c>
      <c r="F15" s="109">
        <f>B15+'Cálculos NBR9062 2017'!$B$86*C15/'Cálculos NBR9062 2017'!$B$36</f>
        <v>6.5276879044300653</v>
      </c>
      <c r="G15" s="110">
        <f t="shared" si="2"/>
        <v>6.5</v>
      </c>
      <c r="Q15" s="64">
        <v>4</v>
      </c>
      <c r="R15" s="92">
        <f>IF(U15=1,R12,0)</f>
        <v>4</v>
      </c>
      <c r="S15" s="91">
        <f>IF(U15=1,S14,0)</f>
        <v>6.5</v>
      </c>
      <c r="T15" s="65">
        <f>IF(MOD(Q15,5)=0,T14+'Cálculos NBR9062 2017'!$B$45*Q15/6,T14)</f>
        <v>2.5</v>
      </c>
      <c r="U15" s="100">
        <f t="shared" si="5"/>
        <v>1</v>
      </c>
      <c r="V15" s="109">
        <f>R15+'Cálculos NBR9062 2017'!$B$86*S15/'Cálculos NBR9062 2017'!$B$36</f>
        <v>6.5276879044300653</v>
      </c>
      <c r="W15" s="110">
        <f t="shared" si="3"/>
        <v>6.5</v>
      </c>
    </row>
    <row r="16" spans="1:23" ht="15.75" thickBot="1" x14ac:dyDescent="0.3">
      <c r="A16" s="64">
        <v>5</v>
      </c>
      <c r="B16" s="93">
        <f>IF(E16=1,B12,0)</f>
        <v>4</v>
      </c>
      <c r="C16" s="94">
        <f>IF(E16=1,C12,0)</f>
        <v>2.5</v>
      </c>
      <c r="D16" s="65">
        <f>IF(MOD(A16,5)=0,D15+('Cálculos NBR9062 2017'!$B$45+'Cálculos NBR9062 2017'!$B$44)*A16/5,D15)</f>
        <v>18.5</v>
      </c>
      <c r="E16" s="100">
        <f t="shared" si="4"/>
        <v>1</v>
      </c>
      <c r="F16" s="111">
        <f>B16+'Cálculos NBR9062 2017'!$B$86*C16/'Cálculos NBR9062 2017'!$B$36</f>
        <v>4.9721876555500248</v>
      </c>
      <c r="G16" s="112">
        <f t="shared" si="2"/>
        <v>2.5</v>
      </c>
      <c r="Q16" s="64">
        <v>5</v>
      </c>
      <c r="R16" s="93">
        <f>IF(U16=1,R12,0)</f>
        <v>4</v>
      </c>
      <c r="S16" s="94">
        <f>IF(U16=1,S12,0)</f>
        <v>2.5</v>
      </c>
      <c r="T16" s="65">
        <f>IF(MOD(Q16,5)=0,T15+('Cálculos NBR9062 2017'!$B$45+'Cálculos NBR9062 2017'!$B$44)*Q16/5,T15)</f>
        <v>18.5</v>
      </c>
      <c r="U16" s="100">
        <f t="shared" si="5"/>
        <v>1</v>
      </c>
      <c r="V16" s="111">
        <f>R16+'Cálculos NBR9062 2017'!$B$86*S16/'Cálculos NBR9062 2017'!$B$36</f>
        <v>4.9721876555500248</v>
      </c>
      <c r="W16" s="112">
        <f t="shared" si="3"/>
        <v>2.5</v>
      </c>
    </row>
    <row r="17" spans="1:23" x14ac:dyDescent="0.25">
      <c r="A17" s="64">
        <v>6</v>
      </c>
      <c r="B17" s="87">
        <f>B12</f>
        <v>4</v>
      </c>
      <c r="C17" s="88">
        <f>D17</f>
        <v>18.5</v>
      </c>
      <c r="D17" s="65">
        <f>IF(MOD(A17,5)=0,D16+('Cálculos NBR9062 2017'!$B$45+'Cálculos NBR9062 2017'!$B$44)*A17/5,D16)</f>
        <v>18.5</v>
      </c>
      <c r="E17" s="100">
        <f t="shared" si="4"/>
        <v>1</v>
      </c>
      <c r="F17" s="107">
        <f>B17+'Cálculos NBR9062 2017'!$B$86*C17/'Cálculos NBR9062 2017'!$B$36</f>
        <v>11.194188651070185</v>
      </c>
      <c r="G17" s="108">
        <f t="shared" si="2"/>
        <v>18.5</v>
      </c>
      <c r="Q17" s="64">
        <v>6</v>
      </c>
      <c r="R17" s="87">
        <f>R12</f>
        <v>4</v>
      </c>
      <c r="S17" s="88">
        <f>T17</f>
        <v>18.5</v>
      </c>
      <c r="T17" s="65">
        <f>IF(MOD(Q17,5)=0,T16+('Cálculos Eurocode'!$B$51+'Cálculos Eurocode'!$B$52)*Q17/5,T16)</f>
        <v>18.5</v>
      </c>
      <c r="U17" s="100">
        <f t="shared" si="5"/>
        <v>1</v>
      </c>
      <c r="V17" s="107">
        <f>R17+'Cálculos NBR9062 2017'!$B$86*S17/'Cálculos NBR9062 2017'!$B$36</f>
        <v>11.194188651070185</v>
      </c>
      <c r="W17" s="108">
        <f t="shared" si="3"/>
        <v>18.5</v>
      </c>
    </row>
    <row r="18" spans="1:23" x14ac:dyDescent="0.25">
      <c r="A18" s="84">
        <v>7</v>
      </c>
      <c r="B18" s="89">
        <f>IF(E18=1,B19,0)</f>
        <v>396</v>
      </c>
      <c r="C18" s="90">
        <f>IF(E18=1,C17,0)</f>
        <v>18.5</v>
      </c>
      <c r="D18" s="65">
        <f>IF(MOD(A18,5)=0,D17+('Cálculos NBR9062 2017'!$B$45+'Cálculos NBR9062 2017'!$B$44)*A18/5,D17)</f>
        <v>18.5</v>
      </c>
      <c r="E18" s="100">
        <f t="shared" si="4"/>
        <v>1</v>
      </c>
      <c r="F18" s="109">
        <f>B18+'Cálculos NBR9062 2017'!$B$86*C18/'Cálculos NBR9062 2017'!$B$36</f>
        <v>403.19418865107019</v>
      </c>
      <c r="G18" s="110">
        <f t="shared" si="2"/>
        <v>18.5</v>
      </c>
      <c r="Q18" s="84">
        <v>7</v>
      </c>
      <c r="R18" s="89">
        <f>IF(U18=1,R19,0)</f>
        <v>396</v>
      </c>
      <c r="S18" s="90">
        <f>IF(U18=1,S17,0)</f>
        <v>18.5</v>
      </c>
      <c r="T18" s="65">
        <f>IF(MOD(Q18,5)=0,T17+('Cálculos NBR9062 2017'!$B$45+'Cálculos NBR9062 2017'!$B$44)*Q18/5,T17)</f>
        <v>18.5</v>
      </c>
      <c r="U18" s="100">
        <f t="shared" si="5"/>
        <v>1</v>
      </c>
      <c r="V18" s="109">
        <f>R18+'Cálculos NBR9062 2017'!$B$86*S18/'Cálculos NBR9062 2017'!$B$36</f>
        <v>403.19418865107019</v>
      </c>
      <c r="W18" s="110">
        <f t="shared" si="3"/>
        <v>18.5</v>
      </c>
    </row>
    <row r="19" spans="1:23" x14ac:dyDescent="0.25">
      <c r="A19" s="84">
        <v>8</v>
      </c>
      <c r="B19" s="89">
        <f>IF(E19=1,B17+'Cálculos NBR9062 2017'!$B$40,0)</f>
        <v>396</v>
      </c>
      <c r="C19" s="91">
        <f>IF(E19=1,'Cálculos NBR9062 2017'!$B$44+C18,0)</f>
        <v>22.5</v>
      </c>
      <c r="D19" s="65">
        <f>IF(MOD(A19,5)=0,D18+('Cálculos NBR9062 2017'!$B$45+'Cálculos NBR9062 2017'!$B$44)*A19/5,D18)</f>
        <v>18.5</v>
      </c>
      <c r="E19" s="100">
        <f t="shared" si="4"/>
        <v>1</v>
      </c>
      <c r="F19" s="109">
        <f>B19+'Cálculos NBR9062 2017'!$B$86*C19/'Cálculos NBR9062 2017'!$B$36</f>
        <v>404.74968889995023</v>
      </c>
      <c r="G19" s="110">
        <f t="shared" si="2"/>
        <v>22.5</v>
      </c>
      <c r="Q19" s="84">
        <v>8</v>
      </c>
      <c r="R19" s="89">
        <f>IF(U19=1,R17+'Cálculos Eurocode'!$B$47,0)</f>
        <v>396</v>
      </c>
      <c r="S19" s="91">
        <f>IF(U19=1,'Cálculos Eurocode'!$B$51+S18,0)</f>
        <v>22.5</v>
      </c>
      <c r="T19" s="65">
        <f>IF(MOD(Q19,5)=0,T18+('Cálculos NBR9062 2017'!$B$45+'Cálculos NBR9062 2017'!$B$44)*Q19/5,T18)</f>
        <v>18.5</v>
      </c>
      <c r="U19" s="100">
        <f t="shared" si="5"/>
        <v>1</v>
      </c>
      <c r="V19" s="109">
        <f>R19+'Cálculos NBR9062 2017'!$B$86*S19/'Cálculos NBR9062 2017'!$B$36</f>
        <v>404.74968889995023</v>
      </c>
      <c r="W19" s="110">
        <f t="shared" si="3"/>
        <v>22.5</v>
      </c>
    </row>
    <row r="20" spans="1:23" x14ac:dyDescent="0.25">
      <c r="A20" s="84">
        <v>9</v>
      </c>
      <c r="B20" s="92">
        <f>IF(E20=1,B17,0)</f>
        <v>4</v>
      </c>
      <c r="C20" s="91">
        <f>IF(E20=1,C19,0)</f>
        <v>22.5</v>
      </c>
      <c r="D20" s="65">
        <f>IF(MOD(A20,5)=0,D19+('Cálculos NBR9062 2017'!$B$45+'Cálculos NBR9062 2017'!$B$44)*A20/5,D19)</f>
        <v>18.5</v>
      </c>
      <c r="E20" s="100">
        <f t="shared" si="4"/>
        <v>1</v>
      </c>
      <c r="F20" s="109">
        <f>B20+'Cálculos NBR9062 2017'!$B$86*C20/'Cálculos NBR9062 2017'!$B$36</f>
        <v>12.749688899950225</v>
      </c>
      <c r="G20" s="110">
        <f t="shared" si="2"/>
        <v>22.5</v>
      </c>
      <c r="Q20" s="84">
        <v>9</v>
      </c>
      <c r="R20" s="92">
        <f>IF(U20=1,R17,0)</f>
        <v>4</v>
      </c>
      <c r="S20" s="91">
        <f>IF(U20=1,S19,0)</f>
        <v>22.5</v>
      </c>
      <c r="T20" s="65">
        <f>IF(MOD(Q20,5)=0,T19+('Cálculos NBR9062 2017'!$B$45+'Cálculos NBR9062 2017'!$B$44)*Q20/5,T19)</f>
        <v>18.5</v>
      </c>
      <c r="U20" s="100">
        <f t="shared" si="5"/>
        <v>1</v>
      </c>
      <c r="V20" s="109">
        <f>R20+'Cálculos NBR9062 2017'!$B$86*S20/'Cálculos NBR9062 2017'!$B$36</f>
        <v>12.749688899950225</v>
      </c>
      <c r="W20" s="110">
        <f t="shared" si="3"/>
        <v>22.5</v>
      </c>
    </row>
    <row r="21" spans="1:23" ht="15.75" thickBot="1" x14ac:dyDescent="0.3">
      <c r="A21" s="84">
        <v>10</v>
      </c>
      <c r="B21" s="93">
        <f>IF(E21=1,B17,0)</f>
        <v>4</v>
      </c>
      <c r="C21" s="94">
        <f>IF(E21=1,C17,0)</f>
        <v>18.5</v>
      </c>
      <c r="D21" s="65">
        <f>IF(MOD(A21,5)=0,D20+('Cálculos NBR9062 2017'!$B$45+'Cálculos NBR9062 2017'!$B$44),D20)</f>
        <v>34.5</v>
      </c>
      <c r="E21" s="100">
        <f t="shared" si="4"/>
        <v>1</v>
      </c>
      <c r="F21" s="111">
        <f>B21+'Cálculos NBR9062 2017'!$B$86*C21/'Cálculos NBR9062 2017'!$B$36</f>
        <v>11.194188651070185</v>
      </c>
      <c r="G21" s="112">
        <f t="shared" si="2"/>
        <v>18.5</v>
      </c>
      <c r="Q21" s="84">
        <v>10</v>
      </c>
      <c r="R21" s="93">
        <f>IF(U21=1,R17,0)</f>
        <v>4</v>
      </c>
      <c r="S21" s="94">
        <f>IF(U21=1,S17,0)</f>
        <v>18.5</v>
      </c>
      <c r="T21" s="65">
        <f>IF(MOD(Q21,5)=0,T20+('Cálculos Eurocode'!$B$51+'Cálculos Eurocode'!$B$52),T20)</f>
        <v>34.5</v>
      </c>
      <c r="U21" s="100">
        <f t="shared" si="5"/>
        <v>1</v>
      </c>
      <c r="V21" s="111">
        <f>R21+'Cálculos NBR9062 2017'!$B$86*S21/'Cálculos NBR9062 2017'!$B$36</f>
        <v>11.194188651070185</v>
      </c>
      <c r="W21" s="112">
        <f t="shared" si="3"/>
        <v>18.5</v>
      </c>
    </row>
    <row r="22" spans="1:23" x14ac:dyDescent="0.25">
      <c r="A22" s="1">
        <v>11</v>
      </c>
      <c r="B22" s="87">
        <f>IF(E22=1,B17,0)</f>
        <v>4</v>
      </c>
      <c r="C22" s="88">
        <f>IF(E22=1,D22,0)</f>
        <v>34.5</v>
      </c>
      <c r="D22" s="65">
        <f>IF(MOD(A22,5)=0,D21+('Cálculos NBR9062 2017'!$B$45+'Cálculos NBR9062 2017'!$B$44),D21)</f>
        <v>34.5</v>
      </c>
      <c r="E22" s="100">
        <f t="shared" si="4"/>
        <v>1</v>
      </c>
      <c r="F22" s="107">
        <f>B22+'Cálculos NBR9062 2017'!$B$86*C22/'Cálculos NBR9062 2017'!$B$36</f>
        <v>17.416189646590347</v>
      </c>
      <c r="G22" s="108">
        <f t="shared" si="2"/>
        <v>34.5</v>
      </c>
      <c r="Q22" s="1">
        <v>11</v>
      </c>
      <c r="R22" s="87">
        <f>IF(U22=1,R17,0)</f>
        <v>4</v>
      </c>
      <c r="S22" s="88">
        <f>IF(U22=1,T22,0)</f>
        <v>34.5</v>
      </c>
      <c r="T22" s="65">
        <f>IF(MOD(Q22,5)=0,T21+('Cálculos Eurocode'!$B$51+'Cálculos Eurocode'!$B$52),T21)</f>
        <v>34.5</v>
      </c>
      <c r="U22" s="100">
        <f t="shared" si="5"/>
        <v>1</v>
      </c>
      <c r="V22" s="107">
        <f>R22+'Cálculos NBR9062 2017'!$B$86*S22/'Cálculos NBR9062 2017'!$B$36</f>
        <v>17.416189646590347</v>
      </c>
      <c r="W22" s="108">
        <f t="shared" si="3"/>
        <v>34.5</v>
      </c>
    </row>
    <row r="23" spans="1:23" x14ac:dyDescent="0.25">
      <c r="A23" s="1">
        <v>12</v>
      </c>
      <c r="B23" s="89">
        <f>IF(E23=1,B24,0)</f>
        <v>396</v>
      </c>
      <c r="C23" s="90">
        <f>IF(E23=1,C22,0)</f>
        <v>34.5</v>
      </c>
      <c r="D23" s="65">
        <f>IF(MOD(A23,5)=0,D22+('Cálculos NBR9062 2017'!$B$45+'Cálculos NBR9062 2017'!$B$44),D22)</f>
        <v>34.5</v>
      </c>
      <c r="E23" s="100">
        <f t="shared" si="4"/>
        <v>1</v>
      </c>
      <c r="F23" s="109">
        <f>B23+'Cálculos NBR9062 2017'!$B$86*C23/'Cálculos NBR9062 2017'!$B$36</f>
        <v>409.41618964659034</v>
      </c>
      <c r="G23" s="110">
        <f t="shared" si="2"/>
        <v>34.5</v>
      </c>
      <c r="Q23" s="1">
        <v>12</v>
      </c>
      <c r="R23" s="89">
        <f>IF(U23=1,R24,0)</f>
        <v>396</v>
      </c>
      <c r="S23" s="90">
        <f>IF(U23=1,S22,0)</f>
        <v>34.5</v>
      </c>
      <c r="T23" s="65">
        <f>IF(MOD(Q23,5)=0,T22+('Cálculos Eurocode'!$B$51+'Cálculos Eurocode'!$B$52),T22)</f>
        <v>34.5</v>
      </c>
      <c r="U23" s="100">
        <f t="shared" si="5"/>
        <v>1</v>
      </c>
      <c r="V23" s="109">
        <f>R23+'Cálculos NBR9062 2017'!$B$86*S23/'Cálculos NBR9062 2017'!$B$36</f>
        <v>409.41618964659034</v>
      </c>
      <c r="W23" s="110">
        <f t="shared" si="3"/>
        <v>34.5</v>
      </c>
    </row>
    <row r="24" spans="1:23" x14ac:dyDescent="0.25">
      <c r="A24" s="1">
        <v>13</v>
      </c>
      <c r="B24" s="89">
        <f>IF(E24=1,B22+'Cálculos NBR9062 2017'!$B$40,0)</f>
        <v>396</v>
      </c>
      <c r="C24" s="91">
        <f>IF(E24=1,'Cálculos NBR9062 2017'!$B$44+C23,0)</f>
        <v>38.5</v>
      </c>
      <c r="D24" s="65">
        <f>IF(MOD(A24,5)=0,D23+('Cálculos NBR9062 2017'!$B$45+'Cálculos NBR9062 2017'!$B$44),D23)</f>
        <v>34.5</v>
      </c>
      <c r="E24" s="100">
        <f t="shared" si="4"/>
        <v>1</v>
      </c>
      <c r="F24" s="109">
        <f>B24+'Cálculos NBR9062 2017'!$B$86*C24/'Cálculos NBR9062 2017'!$B$36</f>
        <v>410.97168989547038</v>
      </c>
      <c r="G24" s="110">
        <f t="shared" si="2"/>
        <v>38.5</v>
      </c>
      <c r="Q24" s="1">
        <v>13</v>
      </c>
      <c r="R24" s="89">
        <f>IF(U24=1,R22+'Cálculos Eurocode'!$B$47,0)</f>
        <v>396</v>
      </c>
      <c r="S24" s="91">
        <f>IF(U24=1,'Cálculos Eurocode'!$B$51+S23,0)</f>
        <v>38.5</v>
      </c>
      <c r="T24" s="65">
        <f>IF(MOD(Q24,5)=0,T23+('Cálculos Eurocode'!$B$51+'Cálculos Eurocode'!$B$52),T23)</f>
        <v>34.5</v>
      </c>
      <c r="U24" s="100">
        <f t="shared" si="5"/>
        <v>1</v>
      </c>
      <c r="V24" s="109">
        <f>R24+'Cálculos NBR9062 2017'!$B$86*S24/'Cálculos NBR9062 2017'!$B$36</f>
        <v>410.97168989547038</v>
      </c>
      <c r="W24" s="110">
        <f t="shared" si="3"/>
        <v>38.5</v>
      </c>
    </row>
    <row r="25" spans="1:23" x14ac:dyDescent="0.25">
      <c r="A25" s="1">
        <v>14</v>
      </c>
      <c r="B25" s="92">
        <f>IF(E25=1,B22,0)</f>
        <v>4</v>
      </c>
      <c r="C25" s="91">
        <f>IF(E25=1,C24,0)</f>
        <v>38.5</v>
      </c>
      <c r="D25" s="65">
        <f>IF(MOD(A25,5)=0,D24+('Cálculos NBR9062 2017'!$B$45+'Cálculos NBR9062 2017'!$B$44),D24)</f>
        <v>34.5</v>
      </c>
      <c r="E25" s="100">
        <f t="shared" si="4"/>
        <v>1</v>
      </c>
      <c r="F25" s="109">
        <f>B25+'Cálculos NBR9062 2017'!$B$86*C25/'Cálculos NBR9062 2017'!$B$36</f>
        <v>18.971689895470384</v>
      </c>
      <c r="G25" s="110">
        <f t="shared" si="2"/>
        <v>38.5</v>
      </c>
      <c r="Q25" s="1">
        <v>14</v>
      </c>
      <c r="R25" s="92">
        <f>IF(U25=1,R22,0)</f>
        <v>4</v>
      </c>
      <c r="S25" s="91">
        <f>IF(U25=1,S24,0)</f>
        <v>38.5</v>
      </c>
      <c r="T25" s="65">
        <f>IF(MOD(Q25,5)=0,T24+('Cálculos Eurocode'!$B$51+'Cálculos Eurocode'!$B$52),T24)</f>
        <v>34.5</v>
      </c>
      <c r="U25" s="100">
        <f t="shared" si="5"/>
        <v>1</v>
      </c>
      <c r="V25" s="109">
        <f>R25+'Cálculos NBR9062 2017'!$B$86*S25/'Cálculos NBR9062 2017'!$B$36</f>
        <v>18.971689895470384</v>
      </c>
      <c r="W25" s="110">
        <f t="shared" si="3"/>
        <v>38.5</v>
      </c>
    </row>
    <row r="26" spans="1:23" ht="15.75" thickBot="1" x14ac:dyDescent="0.3">
      <c r="A26" s="1">
        <v>15</v>
      </c>
      <c r="B26" s="93">
        <f>IF(E26=1,B22,0)</f>
        <v>4</v>
      </c>
      <c r="C26" s="94">
        <f>IF(E26=1,C22,0)</f>
        <v>34.5</v>
      </c>
      <c r="D26" s="65">
        <f>IF(MOD(A26,5)=0,D25+('Cálculos NBR9062 2017'!$B$45+'Cálculos NBR9062 2017'!$B$44),D25)</f>
        <v>50.5</v>
      </c>
      <c r="E26" s="100">
        <f t="shared" si="4"/>
        <v>1</v>
      </c>
      <c r="F26" s="111">
        <f>B26+'Cálculos NBR9062 2017'!$B$86*C26/'Cálculos NBR9062 2017'!$B$36</f>
        <v>17.416189646590347</v>
      </c>
      <c r="G26" s="112">
        <f t="shared" si="2"/>
        <v>34.5</v>
      </c>
      <c r="Q26" s="1">
        <v>15</v>
      </c>
      <c r="R26" s="93">
        <f>IF(U26=1,R22,0)</f>
        <v>4</v>
      </c>
      <c r="S26" s="94">
        <f>IF(U26=1,S22,0)</f>
        <v>34.5</v>
      </c>
      <c r="T26" s="65">
        <f>IF(MOD(Q26,5)=0,T25+('Cálculos Eurocode'!$B$51+'Cálculos Eurocode'!$B$52),T25)</f>
        <v>50.5</v>
      </c>
      <c r="U26" s="100">
        <f t="shared" si="5"/>
        <v>1</v>
      </c>
      <c r="V26" s="111">
        <f>R26+'Cálculos NBR9062 2017'!$B$86*S26/'Cálculos NBR9062 2017'!$B$36</f>
        <v>17.416189646590347</v>
      </c>
      <c r="W26" s="112">
        <f t="shared" si="3"/>
        <v>34.5</v>
      </c>
    </row>
    <row r="27" spans="1:23" x14ac:dyDescent="0.25">
      <c r="A27" s="1">
        <v>16</v>
      </c>
      <c r="B27" s="87">
        <f>IF(E27=1,B22,0)</f>
        <v>4</v>
      </c>
      <c r="C27" s="88">
        <f>IF(E27=1,D27,0)</f>
        <v>50.5</v>
      </c>
      <c r="D27" s="65">
        <f>IF(MOD(A27,5)=0,D26+('Cálculos NBR9062 2017'!$B$45+'Cálculos NBR9062 2017'!$B$44),D26)</f>
        <v>50.5</v>
      </c>
      <c r="E27" s="100">
        <f t="shared" si="4"/>
        <v>1</v>
      </c>
      <c r="F27" s="107">
        <f>B27+'Cálculos NBR9062 2017'!$B$86*C27/'Cálculos NBR9062 2017'!$B$36</f>
        <v>23.638190642110501</v>
      </c>
      <c r="G27" s="108">
        <f t="shared" si="2"/>
        <v>50.5</v>
      </c>
      <c r="Q27" s="1">
        <v>16</v>
      </c>
      <c r="R27" s="87">
        <f>IF(U27=1,R22,0)</f>
        <v>4</v>
      </c>
      <c r="S27" s="88">
        <f>IF(U27=1,T27,0)</f>
        <v>50.5</v>
      </c>
      <c r="T27" s="65">
        <f>IF(MOD(Q27,5)=0,T26+('Cálculos Eurocode'!$B$51+'Cálculos Eurocode'!$B$52),T26)</f>
        <v>50.5</v>
      </c>
      <c r="U27" s="100">
        <f t="shared" si="5"/>
        <v>1</v>
      </c>
      <c r="V27" s="107">
        <f>R27+'Cálculos NBR9062 2017'!$B$86*S27/'Cálculos NBR9062 2017'!$B$36</f>
        <v>23.638190642110501</v>
      </c>
      <c r="W27" s="108">
        <f t="shared" si="3"/>
        <v>50.5</v>
      </c>
    </row>
    <row r="28" spans="1:23" x14ac:dyDescent="0.25">
      <c r="A28" s="83">
        <v>17</v>
      </c>
      <c r="B28" s="89">
        <f>IF(E28=1,B29,0)</f>
        <v>396</v>
      </c>
      <c r="C28" s="90">
        <f>IF(E28=1,C27,0)</f>
        <v>50.5</v>
      </c>
      <c r="D28" s="65">
        <f>IF(MOD(A28,5)=0,D27+('Cálculos NBR9062 2017'!$B$45+'Cálculos NBR9062 2017'!$B$44),D27)</f>
        <v>50.5</v>
      </c>
      <c r="E28" s="100">
        <f t="shared" si="4"/>
        <v>1</v>
      </c>
      <c r="F28" s="109">
        <f>B28+'Cálculos NBR9062 2017'!$B$86*C28/'Cálculos NBR9062 2017'!$B$36</f>
        <v>415.63819064211049</v>
      </c>
      <c r="G28" s="110">
        <f t="shared" si="2"/>
        <v>50.5</v>
      </c>
      <c r="Q28" s="83">
        <v>17</v>
      </c>
      <c r="R28" s="89">
        <f>IF(U28=1,R29,0)</f>
        <v>396</v>
      </c>
      <c r="S28" s="90">
        <f>IF(U28=1,S27,0)</f>
        <v>50.5</v>
      </c>
      <c r="T28" s="65">
        <f>IF(MOD(Q28,5)=0,T27+('Cálculos Eurocode'!$B$51+'Cálculos Eurocode'!$B$52),T27)</f>
        <v>50.5</v>
      </c>
      <c r="U28" s="100">
        <f t="shared" si="5"/>
        <v>1</v>
      </c>
      <c r="V28" s="109">
        <f>R28+'Cálculos NBR9062 2017'!$B$86*S28/'Cálculos NBR9062 2017'!$B$36</f>
        <v>415.63819064211049</v>
      </c>
      <c r="W28" s="110">
        <f t="shared" si="3"/>
        <v>50.5</v>
      </c>
    </row>
    <row r="29" spans="1:23" x14ac:dyDescent="0.25">
      <c r="A29" s="83">
        <v>18</v>
      </c>
      <c r="B29" s="89">
        <f>IF(E29=1,B27+'Cálculos NBR9062 2017'!$B$40,0)</f>
        <v>396</v>
      </c>
      <c r="C29" s="91">
        <f>IF(E29=1,'Cálculos NBR9062 2017'!$B$44+C28,0)</f>
        <v>54.5</v>
      </c>
      <c r="D29" s="65">
        <f>IF(MOD(A29,5)=0,D28+('Cálculos NBR9062 2017'!$B$45+'Cálculos NBR9062 2017'!$B$44),D28)</f>
        <v>50.5</v>
      </c>
      <c r="E29" s="100">
        <f t="shared" si="4"/>
        <v>1</v>
      </c>
      <c r="F29" s="109">
        <f>B29+'Cálculos NBR9062 2017'!$B$86*C29/'Cálculos NBR9062 2017'!$B$36</f>
        <v>417.19369089099052</v>
      </c>
      <c r="G29" s="110">
        <f t="shared" si="2"/>
        <v>54.5</v>
      </c>
      <c r="Q29" s="83">
        <v>18</v>
      </c>
      <c r="R29" s="89">
        <f>IF(U29=1,R27+'Cálculos Eurocode'!$B$47,0)</f>
        <v>396</v>
      </c>
      <c r="S29" s="91">
        <f>IF(U29=1,'Cálculos Eurocode'!$B$51+S28,0)</f>
        <v>54.5</v>
      </c>
      <c r="T29" s="65">
        <f>IF(MOD(Q29,5)=0,T28+('Cálculos Eurocode'!$B$51+'Cálculos Eurocode'!$B$52),T28)</f>
        <v>50.5</v>
      </c>
      <c r="U29" s="100">
        <f t="shared" si="5"/>
        <v>1</v>
      </c>
      <c r="V29" s="109">
        <f>R29+'Cálculos NBR9062 2017'!$B$86*S29/'Cálculos NBR9062 2017'!$B$36</f>
        <v>417.19369089099052</v>
      </c>
      <c r="W29" s="110">
        <f t="shared" si="3"/>
        <v>54.5</v>
      </c>
    </row>
    <row r="30" spans="1:23" x14ac:dyDescent="0.25">
      <c r="A30" s="83">
        <v>19</v>
      </c>
      <c r="B30" s="92">
        <f>IF(E30=1,B27,0)</f>
        <v>4</v>
      </c>
      <c r="C30" s="91">
        <f>IF(E30=1,C29,0)</f>
        <v>54.5</v>
      </c>
      <c r="D30" s="65">
        <f>IF(MOD(A30,5)=0,D29+('Cálculos NBR9062 2017'!$B$45+'Cálculos NBR9062 2017'!$B$44),D29)</f>
        <v>50.5</v>
      </c>
      <c r="E30" s="100">
        <f t="shared" si="4"/>
        <v>1</v>
      </c>
      <c r="F30" s="109">
        <f>B30+'Cálculos NBR9062 2017'!$B$86*C30/'Cálculos NBR9062 2017'!$B$36</f>
        <v>25.193690890990542</v>
      </c>
      <c r="G30" s="110">
        <f t="shared" si="2"/>
        <v>54.5</v>
      </c>
      <c r="Q30" s="83">
        <v>19</v>
      </c>
      <c r="R30" s="92">
        <f>IF(U30=1,R27,0)</f>
        <v>4</v>
      </c>
      <c r="S30" s="91">
        <f>IF(U30=1,S29,0)</f>
        <v>54.5</v>
      </c>
      <c r="T30" s="65">
        <f>IF(MOD(Q30,5)=0,T29+('Cálculos Eurocode'!$B$51+'Cálculos Eurocode'!$B$52),T29)</f>
        <v>50.5</v>
      </c>
      <c r="U30" s="100">
        <f t="shared" si="5"/>
        <v>1</v>
      </c>
      <c r="V30" s="109">
        <f>R30+'Cálculos NBR9062 2017'!$B$86*S30/'Cálculos NBR9062 2017'!$B$36</f>
        <v>25.193690890990542</v>
      </c>
      <c r="W30" s="110">
        <f t="shared" si="3"/>
        <v>54.5</v>
      </c>
    </row>
    <row r="31" spans="1:23" ht="15.75" thickBot="1" x14ac:dyDescent="0.3">
      <c r="A31" s="83">
        <v>20</v>
      </c>
      <c r="B31" s="93">
        <f>IF(E31=1,B27,0)</f>
        <v>4</v>
      </c>
      <c r="C31" s="94">
        <f>IF(E31=1,C27,0)</f>
        <v>50.5</v>
      </c>
      <c r="D31" s="65">
        <f>IF(MOD(A31,5)=0,D30+('Cálculos NBR9062 2017'!$B$45+'Cálculos NBR9062 2017'!$B$44),D30)</f>
        <v>66.5</v>
      </c>
      <c r="E31" s="100">
        <f t="shared" si="4"/>
        <v>1</v>
      </c>
      <c r="F31" s="111">
        <f>B31+'Cálculos NBR9062 2017'!$B$86*C31/'Cálculos NBR9062 2017'!$B$36</f>
        <v>23.638190642110501</v>
      </c>
      <c r="G31" s="112">
        <f t="shared" si="2"/>
        <v>50.5</v>
      </c>
      <c r="Q31" s="83">
        <v>20</v>
      </c>
      <c r="R31" s="93">
        <f>IF(U31=1,R27,0)</f>
        <v>4</v>
      </c>
      <c r="S31" s="94">
        <f>IF(U31=1,S27,0)</f>
        <v>50.5</v>
      </c>
      <c r="T31" s="65">
        <f>IF(MOD(Q31,5)=0,T30+('Cálculos Eurocode'!$B$51+'Cálculos Eurocode'!$B$52),T30)</f>
        <v>66.5</v>
      </c>
      <c r="U31" s="100">
        <f t="shared" si="5"/>
        <v>1</v>
      </c>
      <c r="V31" s="111">
        <f>R31+'Cálculos NBR9062 2017'!$B$86*S31/'Cálculos NBR9062 2017'!$B$36</f>
        <v>23.638190642110501</v>
      </c>
      <c r="W31" s="112">
        <f t="shared" si="3"/>
        <v>50.5</v>
      </c>
    </row>
    <row r="32" spans="1:23" x14ac:dyDescent="0.25">
      <c r="A32" s="1">
        <v>21</v>
      </c>
      <c r="B32" s="87">
        <f>IF(E32=1,B27,0)</f>
        <v>0</v>
      </c>
      <c r="C32" s="88">
        <f>IF(E32=1,D32,0)</f>
        <v>0</v>
      </c>
      <c r="D32" s="65">
        <f>IF(MOD(A32,5)=0,D31+('Cálculos NBR9062 2017'!$B$45+'Cálculos NBR9062 2017'!$B$44),D31)</f>
        <v>66.5</v>
      </c>
      <c r="E32" s="100">
        <f t="shared" si="4"/>
        <v>0</v>
      </c>
      <c r="F32" s="107">
        <f>B32+'Cálculos NBR9062 2017'!$B$86*C32/'Cálculos NBR9062 2017'!$B$36</f>
        <v>0</v>
      </c>
      <c r="G32" s="108">
        <f t="shared" si="2"/>
        <v>0</v>
      </c>
      <c r="Q32" s="1">
        <v>21</v>
      </c>
      <c r="R32" s="87">
        <f>IF(U32=1,R27,0)</f>
        <v>4</v>
      </c>
      <c r="S32" s="88">
        <f>IF(U32=1,T32,0)</f>
        <v>66.5</v>
      </c>
      <c r="T32" s="65">
        <f>IF(MOD(Q32,5)=0,T31+('Cálculos Eurocode'!$B$51+'Cálculos Eurocode'!$B$52),T31)</f>
        <v>66.5</v>
      </c>
      <c r="U32" s="100">
        <f t="shared" si="5"/>
        <v>1</v>
      </c>
      <c r="V32" s="107">
        <f>R32+'Cálculos NBR9062 2017'!$B$86*S32/'Cálculos NBR9062 2017'!$B$36</f>
        <v>29.860191637630663</v>
      </c>
      <c r="W32" s="108">
        <f t="shared" si="3"/>
        <v>66.5</v>
      </c>
    </row>
    <row r="33" spans="1:23" x14ac:dyDescent="0.25">
      <c r="A33" s="1">
        <v>22</v>
      </c>
      <c r="B33" s="89">
        <f>IF(E33=1,B34,0)</f>
        <v>0</v>
      </c>
      <c r="C33" s="90">
        <f>IF(E33=1,C32,0)</f>
        <v>0</v>
      </c>
      <c r="D33" s="65">
        <f>IF(MOD(A33,5)=0,D32+('Cálculos NBR9062 2017'!$B$45+'Cálculos NBR9062 2017'!$B$44),D32)</f>
        <v>66.5</v>
      </c>
      <c r="E33" s="100">
        <f t="shared" si="4"/>
        <v>0</v>
      </c>
      <c r="F33" s="109">
        <f>B33+'Cálculos NBR9062 2017'!$B$86*C33/'Cálculos NBR9062 2017'!$B$36</f>
        <v>0</v>
      </c>
      <c r="G33" s="110">
        <f t="shared" si="2"/>
        <v>0</v>
      </c>
      <c r="Q33" s="1">
        <v>22</v>
      </c>
      <c r="R33" s="89">
        <f>IF(U33=1,R34,0)</f>
        <v>396</v>
      </c>
      <c r="S33" s="90">
        <f>IF(U33=1,S32,0)</f>
        <v>66.5</v>
      </c>
      <c r="T33" s="65">
        <f>IF(MOD(Q33,5)=0,T32+('Cálculos Eurocode'!$B$51+'Cálculos Eurocode'!$B$52),T32)</f>
        <v>66.5</v>
      </c>
      <c r="U33" s="100">
        <f t="shared" si="5"/>
        <v>1</v>
      </c>
      <c r="V33" s="109">
        <f>R33+'Cálculos NBR9062 2017'!$B$86*S33/'Cálculos NBR9062 2017'!$B$36</f>
        <v>421.86019163763069</v>
      </c>
      <c r="W33" s="110">
        <f t="shared" si="3"/>
        <v>66.5</v>
      </c>
    </row>
    <row r="34" spans="1:23" x14ac:dyDescent="0.25">
      <c r="A34" s="1">
        <v>23</v>
      </c>
      <c r="B34" s="89">
        <f>IF(E34=1,B32+'Cálculos NBR9062 2017'!$B$40,0)</f>
        <v>0</v>
      </c>
      <c r="C34" s="91">
        <f>IF(E34=1,'Cálculos NBR9062 2017'!$B$44+C33,0)</f>
        <v>0</v>
      </c>
      <c r="D34" s="65">
        <f>IF(MOD(A34,5)=0,D33+('Cálculos NBR9062 2017'!$B$45+'Cálculos NBR9062 2017'!$B$44),D33)</f>
        <v>66.5</v>
      </c>
      <c r="E34" s="100">
        <f t="shared" si="4"/>
        <v>0</v>
      </c>
      <c r="F34" s="109">
        <f>B34+'Cálculos NBR9062 2017'!$B$86*C34/'Cálculos NBR9062 2017'!$B$36</f>
        <v>0</v>
      </c>
      <c r="G34" s="110">
        <f t="shared" si="2"/>
        <v>0</v>
      </c>
      <c r="Q34" s="1">
        <v>23</v>
      </c>
      <c r="R34" s="89">
        <f>IF(U34=1,R32+'Cálculos Eurocode'!$B$47,0)</f>
        <v>396</v>
      </c>
      <c r="S34" s="91">
        <f>IF(U34=1,'Cálculos Eurocode'!$B$51+S33,0)</f>
        <v>70.5</v>
      </c>
      <c r="T34" s="65">
        <f>IF(MOD(Q34,5)=0,T33+('Cálculos Eurocode'!$B$51+'Cálculos Eurocode'!$B$52),T33)</f>
        <v>66.5</v>
      </c>
      <c r="U34" s="100">
        <f t="shared" si="5"/>
        <v>1</v>
      </c>
      <c r="V34" s="109">
        <f>R34+'Cálculos NBR9062 2017'!$B$86*S34/'Cálculos NBR9062 2017'!$B$36</f>
        <v>423.41569188651067</v>
      </c>
      <c r="W34" s="110">
        <f t="shared" si="3"/>
        <v>70.5</v>
      </c>
    </row>
    <row r="35" spans="1:23" x14ac:dyDescent="0.25">
      <c r="A35" s="1">
        <v>24</v>
      </c>
      <c r="B35" s="92">
        <f>IF(E35=1,B32,0)</f>
        <v>0</v>
      </c>
      <c r="C35" s="91">
        <f>IF(E35=1,C34,0)</f>
        <v>0</v>
      </c>
      <c r="D35" s="65">
        <f>IF(MOD(A35,5)=0,D34+('Cálculos NBR9062 2017'!$B$45+'Cálculos NBR9062 2017'!$B$44),D34)</f>
        <v>66.5</v>
      </c>
      <c r="E35" s="100">
        <f t="shared" si="4"/>
        <v>0</v>
      </c>
      <c r="F35" s="109">
        <f>B35+'Cálculos NBR9062 2017'!$B$86*C35/'Cálculos NBR9062 2017'!$B$36</f>
        <v>0</v>
      </c>
      <c r="G35" s="110">
        <f t="shared" si="2"/>
        <v>0</v>
      </c>
      <c r="Q35" s="1">
        <v>24</v>
      </c>
      <c r="R35" s="92">
        <f>IF(U35=1,R32,0)</f>
        <v>4</v>
      </c>
      <c r="S35" s="91">
        <f>IF(U35=1,S34,0)</f>
        <v>70.5</v>
      </c>
      <c r="T35" s="65">
        <f>IF(MOD(Q35,5)=0,T34+('Cálculos Eurocode'!$B$51+'Cálculos Eurocode'!$B$52),T34)</f>
        <v>66.5</v>
      </c>
      <c r="U35" s="100">
        <f t="shared" si="5"/>
        <v>1</v>
      </c>
      <c r="V35" s="109">
        <f>R35+'Cálculos NBR9062 2017'!$B$86*S35/'Cálculos NBR9062 2017'!$B$36</f>
        <v>31.4156918865107</v>
      </c>
      <c r="W35" s="110">
        <f t="shared" si="3"/>
        <v>70.5</v>
      </c>
    </row>
    <row r="36" spans="1:23" ht="15.75" thickBot="1" x14ac:dyDescent="0.3">
      <c r="A36" s="1">
        <v>25</v>
      </c>
      <c r="B36" s="93">
        <f>IF(E36=1,B32,0)</f>
        <v>0</v>
      </c>
      <c r="C36" s="94">
        <f>IF(E36=1,C32,0)</f>
        <v>0</v>
      </c>
      <c r="D36" s="65">
        <f>IF(MOD(A36,5)=0,D35+('Cálculos NBR9062 2017'!$B$45+'Cálculos NBR9062 2017'!$B$44),D35)</f>
        <v>82.5</v>
      </c>
      <c r="E36" s="100">
        <f t="shared" si="4"/>
        <v>0</v>
      </c>
      <c r="F36" s="111">
        <f>B36+'Cálculos NBR9062 2017'!$B$86*C36/'Cálculos NBR9062 2017'!$B$36</f>
        <v>0</v>
      </c>
      <c r="G36" s="112">
        <f t="shared" si="2"/>
        <v>0</v>
      </c>
      <c r="Q36" s="1">
        <v>25</v>
      </c>
      <c r="R36" s="93">
        <f>IF(U36=1,R32,0)</f>
        <v>4</v>
      </c>
      <c r="S36" s="94">
        <f>IF(U36=1,S32,0)</f>
        <v>66.5</v>
      </c>
      <c r="T36" s="65">
        <f>IF(MOD(Q36,5)=0,T35+('Cálculos Eurocode'!$B$51+'Cálculos Eurocode'!$B$52),T35)</f>
        <v>82.5</v>
      </c>
      <c r="U36" s="100">
        <f t="shared" si="5"/>
        <v>1</v>
      </c>
      <c r="V36" s="111">
        <f>R36+'Cálculos NBR9062 2017'!$B$86*S36/'Cálculos NBR9062 2017'!$B$36</f>
        <v>29.860191637630663</v>
      </c>
      <c r="W36" s="112">
        <f t="shared" si="3"/>
        <v>66.5</v>
      </c>
    </row>
    <row r="37" spans="1:23" x14ac:dyDescent="0.25">
      <c r="A37" s="1">
        <v>26</v>
      </c>
      <c r="B37" s="87">
        <f>IF(E37=1,B32,0)</f>
        <v>0</v>
      </c>
      <c r="C37" s="88">
        <f>IF(E37=1,D37,0)</f>
        <v>0</v>
      </c>
      <c r="D37" s="65">
        <f>IF(MOD(A37,5)=0,D36+('Cálculos NBR9062 2017'!$B$45+'Cálculos NBR9062 2017'!$B$44),D36)</f>
        <v>82.5</v>
      </c>
      <c r="E37" s="100">
        <f t="shared" si="4"/>
        <v>0</v>
      </c>
      <c r="F37" s="107">
        <f>B37+'Cálculos NBR9062 2017'!$B$86*C37/'Cálculos NBR9062 2017'!$B$36</f>
        <v>0</v>
      </c>
      <c r="G37" s="108">
        <f t="shared" si="2"/>
        <v>0</v>
      </c>
      <c r="Q37" s="1">
        <v>26</v>
      </c>
      <c r="R37" s="87">
        <f>IF(U37=1,R32,0)</f>
        <v>4</v>
      </c>
      <c r="S37" s="88">
        <f>IF(U37=1,T37,0)</f>
        <v>82.5</v>
      </c>
      <c r="T37" s="65">
        <f>IF(MOD(Q37,5)=0,T36+('Cálculos Eurocode'!$B$51+'Cálculos Eurocode'!$B$52),T36)</f>
        <v>82.5</v>
      </c>
      <c r="U37" s="100">
        <f t="shared" si="5"/>
        <v>1</v>
      </c>
      <c r="V37" s="107">
        <f>R37+'Cálculos NBR9062 2017'!$B$86*S37/'Cálculos NBR9062 2017'!$B$36</f>
        <v>36.082192633150818</v>
      </c>
      <c r="W37" s="108">
        <f t="shared" si="3"/>
        <v>82.5</v>
      </c>
    </row>
    <row r="38" spans="1:23" x14ac:dyDescent="0.25">
      <c r="A38" s="83">
        <v>27</v>
      </c>
      <c r="B38" s="89">
        <f>IF(E38=1,B39,0)</f>
        <v>0</v>
      </c>
      <c r="C38" s="90">
        <f>IF(E38=1,C37,0)</f>
        <v>0</v>
      </c>
      <c r="D38" s="65">
        <f>IF(MOD(A38,5)=0,D37+('Cálculos NBR9062 2017'!$B$45+'Cálculos NBR9062 2017'!$B$44),D37)</f>
        <v>82.5</v>
      </c>
      <c r="E38" s="100">
        <f t="shared" si="4"/>
        <v>0</v>
      </c>
      <c r="F38" s="109">
        <f>B38+'Cálculos NBR9062 2017'!$B$86*C38/'Cálculos NBR9062 2017'!$B$36</f>
        <v>0</v>
      </c>
      <c r="G38" s="110">
        <f t="shared" si="2"/>
        <v>0</v>
      </c>
      <c r="Q38" s="83">
        <v>27</v>
      </c>
      <c r="R38" s="89">
        <f>IF(U38=1,R39,0)</f>
        <v>396</v>
      </c>
      <c r="S38" s="90">
        <f>IF(U38=1,S37,0)</f>
        <v>82.5</v>
      </c>
      <c r="T38" s="65">
        <f>IF(MOD(Q38,5)=0,T37+('Cálculos Eurocode'!$B$51+'Cálculos Eurocode'!$B$52),T37)</f>
        <v>82.5</v>
      </c>
      <c r="U38" s="100">
        <f t="shared" si="5"/>
        <v>1</v>
      </c>
      <c r="V38" s="109">
        <f>R38+'Cálculos NBR9062 2017'!$B$86*S38/'Cálculos NBR9062 2017'!$B$36</f>
        <v>428.08219263315084</v>
      </c>
      <c r="W38" s="110">
        <f t="shared" si="3"/>
        <v>82.5</v>
      </c>
    </row>
    <row r="39" spans="1:23" x14ac:dyDescent="0.25">
      <c r="A39" s="83">
        <v>28</v>
      </c>
      <c r="B39" s="89">
        <f>IF(E39=1,B37+'Cálculos NBR9062 2017'!$B$40,0)</f>
        <v>0</v>
      </c>
      <c r="C39" s="91">
        <f>IF(E39=1,'Cálculos NBR9062 2017'!$B$44+C38,0)</f>
        <v>0</v>
      </c>
      <c r="D39" s="65">
        <f>IF(MOD(A39,5)=0,D38+('Cálculos NBR9062 2017'!$B$45+'Cálculos NBR9062 2017'!$B$44),D38)</f>
        <v>82.5</v>
      </c>
      <c r="E39" s="100">
        <f t="shared" si="4"/>
        <v>0</v>
      </c>
      <c r="F39" s="109">
        <f>B39+'Cálculos NBR9062 2017'!$B$86*C39/'Cálculos NBR9062 2017'!$B$36</f>
        <v>0</v>
      </c>
      <c r="G39" s="110">
        <f t="shared" si="2"/>
        <v>0</v>
      </c>
      <c r="Q39" s="83">
        <v>28</v>
      </c>
      <c r="R39" s="89">
        <f>IF(U39=1,R37+'Cálculos Eurocode'!$B$47,0)</f>
        <v>396</v>
      </c>
      <c r="S39" s="91">
        <f>IF(U39=1,'Cálculos Eurocode'!$B$51+S38,0)</f>
        <v>86.5</v>
      </c>
      <c r="T39" s="65">
        <f>IF(MOD(Q39,5)=0,T38+('Cálculos Eurocode'!$B$51+'Cálculos Eurocode'!$B$52),T38)</f>
        <v>82.5</v>
      </c>
      <c r="U39" s="100">
        <f t="shared" si="5"/>
        <v>1</v>
      </c>
      <c r="V39" s="109">
        <f>R39+'Cálculos NBR9062 2017'!$B$86*S39/'Cálculos NBR9062 2017'!$B$36</f>
        <v>429.63769288203088</v>
      </c>
      <c r="W39" s="110">
        <f t="shared" si="3"/>
        <v>86.5</v>
      </c>
    </row>
    <row r="40" spans="1:23" x14ac:dyDescent="0.25">
      <c r="A40" s="83">
        <v>29</v>
      </c>
      <c r="B40" s="92">
        <f>IF(E40=1,B37,0)</f>
        <v>0</v>
      </c>
      <c r="C40" s="91">
        <f>IF(E40=1,C39,0)</f>
        <v>0</v>
      </c>
      <c r="D40" s="65">
        <f>IF(MOD(A40,5)=0,D39+('Cálculos NBR9062 2017'!$B$45+'Cálculos NBR9062 2017'!$B$44),D39)</f>
        <v>82.5</v>
      </c>
      <c r="E40" s="100">
        <f t="shared" si="4"/>
        <v>0</v>
      </c>
      <c r="F40" s="109">
        <f>B40+'Cálculos NBR9062 2017'!$B$86*C40/'Cálculos NBR9062 2017'!$B$36</f>
        <v>0</v>
      </c>
      <c r="G40" s="110">
        <f t="shared" si="2"/>
        <v>0</v>
      </c>
      <c r="Q40" s="83">
        <v>29</v>
      </c>
      <c r="R40" s="92">
        <f>IF(U40=1,R37,0)</f>
        <v>4</v>
      </c>
      <c r="S40" s="91">
        <f>IF(U40=1,S39,0)</f>
        <v>86.5</v>
      </c>
      <c r="T40" s="65">
        <f>IF(MOD(Q40,5)=0,T39+('Cálculos Eurocode'!$B$51+'Cálculos Eurocode'!$B$52),T39)</f>
        <v>82.5</v>
      </c>
      <c r="U40" s="100">
        <f t="shared" si="5"/>
        <v>1</v>
      </c>
      <c r="V40" s="109">
        <f>R40+'Cálculos NBR9062 2017'!$B$86*S40/'Cálculos NBR9062 2017'!$B$36</f>
        <v>37.637692882030862</v>
      </c>
      <c r="W40" s="110">
        <f t="shared" si="3"/>
        <v>86.5</v>
      </c>
    </row>
    <row r="41" spans="1:23" ht="15.75" thickBot="1" x14ac:dyDescent="0.3">
      <c r="A41" s="83">
        <v>30</v>
      </c>
      <c r="B41" s="93">
        <f>IF(E41=1,B37,0)</f>
        <v>0</v>
      </c>
      <c r="C41" s="94">
        <f>IF(E41=1,C37,0)</f>
        <v>0</v>
      </c>
      <c r="D41" s="65">
        <f>IF(MOD(A41,5)=0,D40+('Cálculos NBR9062 2017'!$B$45+'Cálculos NBR9062 2017'!$B$44),D40)</f>
        <v>98.5</v>
      </c>
      <c r="E41" s="100">
        <f t="shared" si="4"/>
        <v>0</v>
      </c>
      <c r="F41" s="111">
        <f>B41+'Cálculos NBR9062 2017'!$B$86*C41/'Cálculos NBR9062 2017'!$B$36</f>
        <v>0</v>
      </c>
      <c r="G41" s="112">
        <f t="shared" si="2"/>
        <v>0</v>
      </c>
      <c r="Q41" s="83">
        <v>30</v>
      </c>
      <c r="R41" s="93">
        <f>IF(U41=1,R37,0)</f>
        <v>4</v>
      </c>
      <c r="S41" s="94">
        <f>IF(U41=1,S37,0)</f>
        <v>82.5</v>
      </c>
      <c r="T41" s="65">
        <f>IF(MOD(Q41,5)=0,T40+('Cálculos Eurocode'!$B$51+'Cálculos Eurocode'!$B$52),T40)</f>
        <v>98.5</v>
      </c>
      <c r="U41" s="100">
        <f t="shared" si="5"/>
        <v>1</v>
      </c>
      <c r="V41" s="111">
        <f>R41+'Cálculos NBR9062 2017'!$B$86*S41/'Cálculos NBR9062 2017'!$B$36</f>
        <v>36.082192633150818</v>
      </c>
      <c r="W41" s="112">
        <f t="shared" si="3"/>
        <v>82.5</v>
      </c>
    </row>
    <row r="42" spans="1:23" x14ac:dyDescent="0.25">
      <c r="A42" s="1">
        <v>31</v>
      </c>
      <c r="B42" s="87">
        <f>IF(E42=1,B37,0)</f>
        <v>0</v>
      </c>
      <c r="C42" s="88">
        <f>IF(E42=1,D42,0)</f>
        <v>0</v>
      </c>
      <c r="D42" s="65">
        <f>IF(MOD(A42,5)=0,D41+('Cálculos NBR9062 2017'!$B$45+'Cálculos NBR9062 2017'!$B$44),D41)</f>
        <v>98.5</v>
      </c>
      <c r="E42" s="100">
        <f t="shared" si="4"/>
        <v>0</v>
      </c>
      <c r="F42" s="107">
        <f>B42+'Cálculos NBR9062 2017'!$B$86*C42/'Cálculos NBR9062 2017'!$B$36</f>
        <v>0</v>
      </c>
      <c r="G42" s="108">
        <f t="shared" si="2"/>
        <v>0</v>
      </c>
      <c r="Q42" s="1">
        <v>31</v>
      </c>
      <c r="R42" s="87">
        <f>IF(U42=1,R37,0)</f>
        <v>0</v>
      </c>
      <c r="S42" s="88">
        <f>IF(U42=1,T42,0)</f>
        <v>0</v>
      </c>
      <c r="T42" s="65">
        <f>IF(MOD(Q42,5)=0,T41+('Cálculos Eurocode'!$B$51+'Cálculos Eurocode'!$B$52),T41)</f>
        <v>98.5</v>
      </c>
      <c r="U42" s="100">
        <f t="shared" si="5"/>
        <v>0</v>
      </c>
      <c r="V42" s="107">
        <f>R42+'Cálculos NBR9062 2017'!$B$86*S42/'Cálculos NBR9062 2017'!$B$36</f>
        <v>0</v>
      </c>
      <c r="W42" s="108">
        <f t="shared" si="3"/>
        <v>0</v>
      </c>
    </row>
    <row r="43" spans="1:23" x14ac:dyDescent="0.25">
      <c r="A43" s="1">
        <v>32</v>
      </c>
      <c r="B43" s="89">
        <f>IF(E43=1,B44,0)</f>
        <v>0</v>
      </c>
      <c r="C43" s="90">
        <f>IF(E43=1,C42,0)</f>
        <v>0</v>
      </c>
      <c r="D43" s="65">
        <f>IF(MOD(A43,5)=0,D42+('Cálculos NBR9062 2017'!$B$45+'Cálculos NBR9062 2017'!$B$44),D42)</f>
        <v>98.5</v>
      </c>
      <c r="E43" s="100">
        <f t="shared" si="4"/>
        <v>0</v>
      </c>
      <c r="F43" s="109">
        <f>B43+'Cálculos NBR9062 2017'!$B$86*C43/'Cálculos NBR9062 2017'!$B$36</f>
        <v>0</v>
      </c>
      <c r="G43" s="110">
        <f t="shared" si="2"/>
        <v>0</v>
      </c>
      <c r="Q43" s="1">
        <v>32</v>
      </c>
      <c r="R43" s="89">
        <f>IF(U43=1,R44,0)</f>
        <v>0</v>
      </c>
      <c r="S43" s="90">
        <f>IF(U43=1,S42,0)</f>
        <v>0</v>
      </c>
      <c r="T43" s="65">
        <f>IF(MOD(Q43,5)=0,T42+('Cálculos Eurocode'!$B$51+'Cálculos Eurocode'!$B$52),T42)</f>
        <v>98.5</v>
      </c>
      <c r="U43" s="100">
        <f t="shared" si="5"/>
        <v>0</v>
      </c>
      <c r="V43" s="109">
        <f>R43+'Cálculos NBR9062 2017'!$B$86*S43/'Cálculos NBR9062 2017'!$B$36</f>
        <v>0</v>
      </c>
      <c r="W43" s="110">
        <f t="shared" si="3"/>
        <v>0</v>
      </c>
    </row>
    <row r="44" spans="1:23" x14ac:dyDescent="0.25">
      <c r="A44" s="1">
        <v>33</v>
      </c>
      <c r="B44" s="89">
        <f>IF(E44=1,B42+'Cálculos NBR9062 2017'!$B$40,0)</f>
        <v>0</v>
      </c>
      <c r="C44" s="91">
        <f>IF(E44=1,'Cálculos NBR9062 2017'!$B$44+C43,0)</f>
        <v>0</v>
      </c>
      <c r="D44" s="65">
        <f>IF(MOD(A44,5)=0,D43+('Cálculos NBR9062 2017'!$B$45+'Cálculos NBR9062 2017'!$B$44),D43)</f>
        <v>98.5</v>
      </c>
      <c r="E44" s="100">
        <f t="shared" si="4"/>
        <v>0</v>
      </c>
      <c r="F44" s="109">
        <f>B44+'Cálculos NBR9062 2017'!$B$86*C44/'Cálculos NBR9062 2017'!$B$36</f>
        <v>0</v>
      </c>
      <c r="G44" s="110">
        <f t="shared" si="2"/>
        <v>0</v>
      </c>
      <c r="Q44" s="1">
        <v>33</v>
      </c>
      <c r="R44" s="89">
        <f>IF(U44=1,R42+'Cálculos Eurocode'!$B$47,0)</f>
        <v>0</v>
      </c>
      <c r="S44" s="91">
        <f>IF(U44=1,'Cálculos Eurocode'!$B$51+S43,0)</f>
        <v>0</v>
      </c>
      <c r="T44" s="65">
        <f>IF(MOD(Q44,5)=0,T43+('Cálculos Eurocode'!$B$51+'Cálculos Eurocode'!$B$52),T43)</f>
        <v>98.5</v>
      </c>
      <c r="U44" s="100">
        <f t="shared" si="5"/>
        <v>0</v>
      </c>
      <c r="V44" s="109">
        <f>R44+'Cálculos NBR9062 2017'!$B$86*S44/'Cálculos NBR9062 2017'!$B$36</f>
        <v>0</v>
      </c>
      <c r="W44" s="110">
        <f t="shared" si="3"/>
        <v>0</v>
      </c>
    </row>
    <row r="45" spans="1:23" x14ac:dyDescent="0.25">
      <c r="A45" s="1">
        <v>34</v>
      </c>
      <c r="B45" s="92">
        <f>IF(E45=1,B42,0)</f>
        <v>0</v>
      </c>
      <c r="C45" s="91">
        <f>IF(E45=1,C44,0)</f>
        <v>0</v>
      </c>
      <c r="D45" s="65">
        <f>IF(MOD(A45,5)=0,D44+('Cálculos NBR9062 2017'!$B$45+'Cálculos NBR9062 2017'!$B$44),D44)</f>
        <v>98.5</v>
      </c>
      <c r="E45" s="100">
        <f t="shared" si="4"/>
        <v>0</v>
      </c>
      <c r="F45" s="109">
        <f>B45+'Cálculos NBR9062 2017'!$B$86*C45/'Cálculos NBR9062 2017'!$B$36</f>
        <v>0</v>
      </c>
      <c r="G45" s="110">
        <f t="shared" si="2"/>
        <v>0</v>
      </c>
      <c r="Q45" s="1">
        <v>34</v>
      </c>
      <c r="R45" s="92">
        <f>IF(U45=1,R42,0)</f>
        <v>0</v>
      </c>
      <c r="S45" s="91">
        <f>IF(U45=1,S44,0)</f>
        <v>0</v>
      </c>
      <c r="T45" s="65">
        <f>IF(MOD(Q45,5)=0,T44+('Cálculos Eurocode'!$B$51+'Cálculos Eurocode'!$B$52),T44)</f>
        <v>98.5</v>
      </c>
      <c r="U45" s="100">
        <f t="shared" si="5"/>
        <v>0</v>
      </c>
      <c r="V45" s="109">
        <f>R45+'Cálculos NBR9062 2017'!$B$86*S45/'Cálculos NBR9062 2017'!$B$36</f>
        <v>0</v>
      </c>
      <c r="W45" s="110">
        <f t="shared" si="3"/>
        <v>0</v>
      </c>
    </row>
    <row r="46" spans="1:23" ht="15.75" thickBot="1" x14ac:dyDescent="0.3">
      <c r="A46" s="1">
        <v>35</v>
      </c>
      <c r="B46" s="93">
        <f>IF(E46=1,B42,0)</f>
        <v>0</v>
      </c>
      <c r="C46" s="94">
        <f>IF(E46=1,C42,0)</f>
        <v>0</v>
      </c>
      <c r="D46" s="65">
        <f>IF(MOD(A46,5)=0,D45+('Cálculos NBR9062 2017'!$B$45+'Cálculos NBR9062 2017'!$B$44),D45)</f>
        <v>114.5</v>
      </c>
      <c r="E46" s="100">
        <f t="shared" si="4"/>
        <v>0</v>
      </c>
      <c r="F46" s="111">
        <f>B46+'Cálculos NBR9062 2017'!$B$86*C46/'Cálculos NBR9062 2017'!$B$36</f>
        <v>0</v>
      </c>
      <c r="G46" s="112">
        <f t="shared" si="2"/>
        <v>0</v>
      </c>
      <c r="Q46" s="1">
        <v>35</v>
      </c>
      <c r="R46" s="93">
        <f>IF(U46=1,R42,0)</f>
        <v>0</v>
      </c>
      <c r="S46" s="94">
        <f>IF(U46=1,S42,0)</f>
        <v>0</v>
      </c>
      <c r="T46" s="65">
        <f>IF(MOD(Q46,5)=0,T45+('Cálculos Eurocode'!$B$51+'Cálculos Eurocode'!$B$52),T45)</f>
        <v>114.5</v>
      </c>
      <c r="U46" s="100">
        <f t="shared" si="5"/>
        <v>0</v>
      </c>
      <c r="V46" s="111">
        <f>R46+'Cálculos NBR9062 2017'!$B$86*S46/'Cálculos NBR9062 2017'!$B$36</f>
        <v>0</v>
      </c>
      <c r="W46" s="112">
        <f t="shared" si="3"/>
        <v>0</v>
      </c>
    </row>
    <row r="47" spans="1:23" x14ac:dyDescent="0.25">
      <c r="A47" s="1">
        <v>36</v>
      </c>
      <c r="B47" s="87">
        <f>IF(E47=1,B42,0)</f>
        <v>0</v>
      </c>
      <c r="C47" s="88">
        <f>IF(E47=1,D47,0)</f>
        <v>0</v>
      </c>
      <c r="D47" s="65">
        <f>IF(MOD(A47,5)=0,D46+('Cálculos NBR9062 2017'!$B$45+'Cálculos NBR9062 2017'!$B$44),D46)</f>
        <v>114.5</v>
      </c>
      <c r="E47" s="100">
        <f t="shared" si="4"/>
        <v>0</v>
      </c>
      <c r="F47" s="107">
        <f>B47+'Cálculos NBR9062 2017'!$B$86*C47/'Cálculos NBR9062 2017'!$B$36</f>
        <v>0</v>
      </c>
      <c r="G47" s="108">
        <f t="shared" si="2"/>
        <v>0</v>
      </c>
      <c r="Q47" s="1">
        <v>36</v>
      </c>
      <c r="R47" s="87">
        <f>IF(U47=1,R42,0)</f>
        <v>0</v>
      </c>
      <c r="S47" s="88">
        <f>IF(U47=1,T47,0)</f>
        <v>0</v>
      </c>
      <c r="T47" s="65">
        <f>IF(MOD(Q47,5)=0,T46+('Cálculos Eurocode'!$B$51+'Cálculos Eurocode'!$B$52),T46)</f>
        <v>114.5</v>
      </c>
      <c r="U47" s="100">
        <f t="shared" si="5"/>
        <v>0</v>
      </c>
      <c r="V47" s="107">
        <f>R47+'Cálculos NBR9062 2017'!$B$86*S47/'Cálculos NBR9062 2017'!$B$36</f>
        <v>0</v>
      </c>
      <c r="W47" s="108">
        <f t="shared" si="3"/>
        <v>0</v>
      </c>
    </row>
    <row r="48" spans="1:23" x14ac:dyDescent="0.25">
      <c r="A48" s="83">
        <v>37</v>
      </c>
      <c r="B48" s="89">
        <f>IF(E48=1,B49,0)</f>
        <v>0</v>
      </c>
      <c r="C48" s="90">
        <f>IF(E48=1,C47,0)</f>
        <v>0</v>
      </c>
      <c r="D48" s="65">
        <f>IF(MOD(A48,5)=0,D47+('Cálculos NBR9062 2017'!$B$45+'Cálculos NBR9062 2017'!$B$44),D47)</f>
        <v>114.5</v>
      </c>
      <c r="E48" s="100">
        <f t="shared" si="4"/>
        <v>0</v>
      </c>
      <c r="F48" s="109">
        <f>B48+'Cálculos NBR9062 2017'!$B$86*C48/'Cálculos NBR9062 2017'!$B$36</f>
        <v>0</v>
      </c>
      <c r="G48" s="110">
        <f t="shared" si="2"/>
        <v>0</v>
      </c>
      <c r="Q48" s="83">
        <v>37</v>
      </c>
      <c r="R48" s="89">
        <f>IF(U48=1,R49,0)</f>
        <v>0</v>
      </c>
      <c r="S48" s="90">
        <f>IF(U48=1,S47,0)</f>
        <v>0</v>
      </c>
      <c r="T48" s="65">
        <f>IF(MOD(Q48,5)=0,T47+('Cálculos Eurocode'!$B$51+'Cálculos Eurocode'!$B$52),T47)</f>
        <v>114.5</v>
      </c>
      <c r="U48" s="100">
        <f t="shared" si="5"/>
        <v>0</v>
      </c>
      <c r="V48" s="109">
        <f>R48+'Cálculos NBR9062 2017'!$B$86*S48/'Cálculos NBR9062 2017'!$B$36</f>
        <v>0</v>
      </c>
      <c r="W48" s="110">
        <f t="shared" si="3"/>
        <v>0</v>
      </c>
    </row>
    <row r="49" spans="1:23" x14ac:dyDescent="0.25">
      <c r="A49" s="83">
        <v>38</v>
      </c>
      <c r="B49" s="89">
        <f>IF(E49=1,B47+'Cálculos NBR9062 2017'!$B$40,0)</f>
        <v>0</v>
      </c>
      <c r="C49" s="91">
        <f>IF(E49=1,'Cálculos NBR9062 2017'!$B$44+C48,0)</f>
        <v>0</v>
      </c>
      <c r="D49" s="65">
        <f>IF(MOD(A49,5)=0,D48+('Cálculos NBR9062 2017'!$B$45+'Cálculos NBR9062 2017'!$B$44),D48)</f>
        <v>114.5</v>
      </c>
      <c r="E49" s="100">
        <f t="shared" si="4"/>
        <v>0</v>
      </c>
      <c r="F49" s="109">
        <f>B49+'Cálculos NBR9062 2017'!$B$86*C49/'Cálculos NBR9062 2017'!$B$36</f>
        <v>0</v>
      </c>
      <c r="G49" s="110">
        <f t="shared" si="2"/>
        <v>0</v>
      </c>
      <c r="Q49" s="83">
        <v>38</v>
      </c>
      <c r="R49" s="89">
        <f>IF(U49=1,R47+'Cálculos Eurocode'!$B$47,0)</f>
        <v>0</v>
      </c>
      <c r="S49" s="91">
        <f>IF(U49=1,'Cálculos Eurocode'!$B$51+S48,0)</f>
        <v>0</v>
      </c>
      <c r="T49" s="65">
        <f>IF(MOD(Q49,5)=0,T48+('Cálculos Eurocode'!$B$51+'Cálculos Eurocode'!$B$52),T48)</f>
        <v>114.5</v>
      </c>
      <c r="U49" s="100">
        <f t="shared" si="5"/>
        <v>0</v>
      </c>
      <c r="V49" s="109">
        <f>R49+'Cálculos NBR9062 2017'!$B$86*S49/'Cálculos NBR9062 2017'!$B$36</f>
        <v>0</v>
      </c>
      <c r="W49" s="110">
        <f t="shared" si="3"/>
        <v>0</v>
      </c>
    </row>
    <row r="50" spans="1:23" x14ac:dyDescent="0.25">
      <c r="A50" s="83">
        <v>39</v>
      </c>
      <c r="B50" s="92">
        <f>IF(E50=1,B47,0)</f>
        <v>0</v>
      </c>
      <c r="C50" s="91">
        <f>IF(E50=1,C49,0)</f>
        <v>0</v>
      </c>
      <c r="D50" s="65">
        <f>IF(MOD(A50,5)=0,D49+('Cálculos NBR9062 2017'!$B$45+'Cálculos NBR9062 2017'!$B$44),D49)</f>
        <v>114.5</v>
      </c>
      <c r="E50" s="100">
        <f t="shared" si="4"/>
        <v>0</v>
      </c>
      <c r="F50" s="109">
        <f>B50+'Cálculos NBR9062 2017'!$B$86*C50/'Cálculos NBR9062 2017'!$B$36</f>
        <v>0</v>
      </c>
      <c r="G50" s="110">
        <f t="shared" si="2"/>
        <v>0</v>
      </c>
      <c r="Q50" s="83">
        <v>39</v>
      </c>
      <c r="R50" s="92">
        <f>IF(U50=1,R47,0)</f>
        <v>0</v>
      </c>
      <c r="S50" s="91">
        <f>IF(U50=1,S49,0)</f>
        <v>0</v>
      </c>
      <c r="T50" s="65">
        <f>IF(MOD(Q50,5)=0,T49+('Cálculos Eurocode'!$B$51+'Cálculos Eurocode'!$B$52),T49)</f>
        <v>114.5</v>
      </c>
      <c r="U50" s="100">
        <f t="shared" si="5"/>
        <v>0</v>
      </c>
      <c r="V50" s="109">
        <f>R50+'Cálculos NBR9062 2017'!$B$86*S50/'Cálculos NBR9062 2017'!$B$36</f>
        <v>0</v>
      </c>
      <c r="W50" s="110">
        <f t="shared" si="3"/>
        <v>0</v>
      </c>
    </row>
    <row r="51" spans="1:23" ht="15.75" thickBot="1" x14ac:dyDescent="0.3">
      <c r="A51" s="83">
        <v>40</v>
      </c>
      <c r="B51" s="93">
        <f>IF(E51=1,B47,0)</f>
        <v>0</v>
      </c>
      <c r="C51" s="94">
        <f>IF(E51=1,C47,0)</f>
        <v>0</v>
      </c>
      <c r="D51" s="65">
        <f>IF(MOD(A51,5)=0,D50+('Cálculos NBR9062 2017'!$B$45+'Cálculos NBR9062 2017'!$B$44),D50)</f>
        <v>130.5</v>
      </c>
      <c r="E51" s="100">
        <f t="shared" si="4"/>
        <v>0</v>
      </c>
      <c r="F51" s="111">
        <f>B51+'Cálculos NBR9062 2017'!$B$86*C51/'Cálculos NBR9062 2017'!$B$36</f>
        <v>0</v>
      </c>
      <c r="G51" s="112">
        <f t="shared" si="2"/>
        <v>0</v>
      </c>
      <c r="Q51" s="83">
        <v>40</v>
      </c>
      <c r="R51" s="93">
        <f>IF(U51=1,R47,0)</f>
        <v>0</v>
      </c>
      <c r="S51" s="94">
        <f>IF(U51=1,S47,0)</f>
        <v>0</v>
      </c>
      <c r="T51" s="65">
        <f>IF(MOD(Q51,5)=0,T50+('Cálculos Eurocode'!$B$51+'Cálculos Eurocode'!$B$52),T50)</f>
        <v>130.5</v>
      </c>
      <c r="U51" s="100">
        <f t="shared" si="5"/>
        <v>0</v>
      </c>
      <c r="V51" s="111">
        <f>R51+'Cálculos NBR9062 2017'!$B$86*S51/'Cálculos NBR9062 2017'!$B$36</f>
        <v>0</v>
      </c>
      <c r="W51" s="112">
        <f t="shared" si="3"/>
        <v>0</v>
      </c>
    </row>
    <row r="52" spans="1:23" x14ac:dyDescent="0.25">
      <c r="A52" s="1">
        <v>41</v>
      </c>
      <c r="D52" s="65">
        <f>IF(MOD(A52,5)=0,D51+('Cálculos NBR9062 2017'!$B$45+'Cálculos NBR9062 2017'!$B$44),D51)</f>
        <v>130.5</v>
      </c>
      <c r="E52" s="2">
        <f t="shared" si="4"/>
        <v>0</v>
      </c>
      <c r="F52" s="105">
        <f>B52+'Cálculos NBR9062 2017'!$B$86*C52/'Cálculos NBR9062 2017'!$B$36</f>
        <v>0</v>
      </c>
      <c r="G52" s="106">
        <f t="shared" si="2"/>
        <v>0</v>
      </c>
      <c r="Q52" s="1">
        <v>41</v>
      </c>
      <c r="T52" s="65">
        <f>IF(MOD(Q52,5)=0,T51+('Cálculos Eurocode'!$B$51+'Cálculos Eurocode'!$B$52),T51)</f>
        <v>130.5</v>
      </c>
      <c r="U52" s="100">
        <f t="shared" si="5"/>
        <v>0</v>
      </c>
      <c r="V52" s="105">
        <f>R52+'Cálculos NBR9062 2017'!$B$86*S52/'Cálculos NBR9062 2017'!$B$36</f>
        <v>0</v>
      </c>
      <c r="W52" s="106">
        <f t="shared" si="3"/>
        <v>0</v>
      </c>
    </row>
    <row r="53" spans="1:23" x14ac:dyDescent="0.25">
      <c r="A53" s="1">
        <v>42</v>
      </c>
      <c r="D53" s="65">
        <f>IF(MOD(A53,5)=0,D52+('Cálculos NBR9062 2017'!$B$45+'Cálculos NBR9062 2017'!$B$44),D52)</f>
        <v>130.5</v>
      </c>
      <c r="E53" s="2">
        <f t="shared" si="4"/>
        <v>0</v>
      </c>
      <c r="F53" s="2">
        <f>B53+'Cálculos NBR9062 2017'!$B$86*C53/'Cálculos NBR9062 2017'!$B$36</f>
        <v>0</v>
      </c>
      <c r="G53" s="104">
        <f t="shared" si="2"/>
        <v>0</v>
      </c>
      <c r="Q53" s="1">
        <v>42</v>
      </c>
      <c r="T53" s="65">
        <f>IF(MOD(Q53,5)=0,T52+('Cálculos Eurocode'!$B$51+'Cálculos Eurocode'!$B$52),T52)</f>
        <v>130.5</v>
      </c>
      <c r="U53" s="100">
        <f t="shared" si="5"/>
        <v>0</v>
      </c>
      <c r="V53" s="2">
        <f>R53+'Cálculos NBR9062 2017'!$B$86*S53/'Cálculos NBR9062 2017'!$B$36</f>
        <v>0</v>
      </c>
      <c r="W53" s="104">
        <f t="shared" si="3"/>
        <v>0</v>
      </c>
    </row>
    <row r="54" spans="1:23" x14ac:dyDescent="0.25">
      <c r="A54" s="1">
        <v>43</v>
      </c>
      <c r="D54" s="65">
        <f>IF(MOD(A54,5)=0,D53+('Cálculos NBR9062 2017'!$B$45+'Cálculos NBR9062 2017'!$B$44),D53)</f>
        <v>130.5</v>
      </c>
      <c r="E54" s="2">
        <f t="shared" si="4"/>
        <v>0</v>
      </c>
      <c r="F54" s="2">
        <f>B54+'Cálculos NBR9062 2017'!$B$86*C54/'Cálculos NBR9062 2017'!$B$36</f>
        <v>0</v>
      </c>
      <c r="G54" s="104">
        <f t="shared" si="2"/>
        <v>0</v>
      </c>
      <c r="Q54" s="1">
        <v>43</v>
      </c>
      <c r="T54" s="65">
        <f>IF(MOD(Q54,5)=0,T53+('Cálculos Eurocode'!$B$51+'Cálculos Eurocode'!$B$52),T53)</f>
        <v>130.5</v>
      </c>
      <c r="U54" s="100">
        <f t="shared" si="5"/>
        <v>0</v>
      </c>
      <c r="V54" s="2">
        <f>R54+'Cálculos NBR9062 2017'!$B$86*S54/'Cálculos NBR9062 2017'!$B$36</f>
        <v>0</v>
      </c>
      <c r="W54" s="104">
        <f t="shared" si="3"/>
        <v>0</v>
      </c>
    </row>
    <row r="55" spans="1:23" x14ac:dyDescent="0.25">
      <c r="A55" s="1">
        <v>44</v>
      </c>
      <c r="D55" s="65">
        <f>IF(MOD(A55,5)=0,D54+('Cálculos NBR9062 2017'!$B$45+'Cálculos NBR9062 2017'!$B$44),D54)</f>
        <v>130.5</v>
      </c>
      <c r="E55" s="2">
        <f t="shared" si="4"/>
        <v>0</v>
      </c>
      <c r="F55" s="2">
        <f>B55+'Cálculos NBR9062 2017'!$B$86*C55/'Cálculos NBR9062 2017'!$B$36</f>
        <v>0</v>
      </c>
      <c r="G55" s="104">
        <f t="shared" si="2"/>
        <v>0</v>
      </c>
      <c r="Q55" s="1">
        <v>44</v>
      </c>
      <c r="T55" s="65">
        <f>IF(MOD(Q55,5)=0,T54+('Cálculos Eurocode'!$B$51+'Cálculos Eurocode'!$B$52),T54)</f>
        <v>130.5</v>
      </c>
      <c r="U55" s="100">
        <f t="shared" si="5"/>
        <v>0</v>
      </c>
      <c r="V55" s="2">
        <f>R55+'Cálculos NBR9062 2017'!$B$86*S55/'Cálculos NBR9062 2017'!$B$36</f>
        <v>0</v>
      </c>
      <c r="W55" s="104">
        <f t="shared" si="3"/>
        <v>0</v>
      </c>
    </row>
    <row r="56" spans="1:23" x14ac:dyDescent="0.25">
      <c r="A56" s="1">
        <v>45</v>
      </c>
      <c r="D56" s="65">
        <f>IF(MOD(A56,5)=0,D55+('Cálculos NBR9062 2017'!$B$45+'Cálculos NBR9062 2017'!$B$44),D55)</f>
        <v>146.5</v>
      </c>
      <c r="E56" s="2">
        <f t="shared" si="4"/>
        <v>0</v>
      </c>
      <c r="F56" s="2">
        <f>B56+'Cálculos NBR9062 2017'!$B$86*C56/'Cálculos NBR9062 2017'!$B$36</f>
        <v>0</v>
      </c>
      <c r="G56" s="104">
        <f t="shared" si="2"/>
        <v>0</v>
      </c>
      <c r="Q56" s="1">
        <v>45</v>
      </c>
      <c r="T56" s="65">
        <f>IF(MOD(Q56,5)=0,T55+('Cálculos Eurocode'!$B$51+'Cálculos Eurocode'!$B$52),T55)</f>
        <v>146.5</v>
      </c>
      <c r="U56" s="100">
        <f t="shared" si="5"/>
        <v>0</v>
      </c>
      <c r="V56" s="2">
        <f>R56+'Cálculos NBR9062 2017'!$B$86*S56/'Cálculos NBR9062 2017'!$B$36</f>
        <v>0</v>
      </c>
      <c r="W56" s="104">
        <f t="shared" si="3"/>
        <v>0</v>
      </c>
    </row>
    <row r="57" spans="1:23" x14ac:dyDescent="0.25">
      <c r="A57" s="1">
        <v>46</v>
      </c>
      <c r="D57" s="65">
        <f>IF(MOD(A57,5)=0,D56+('Cálculos NBR9062 2017'!$B$45+'Cálculos NBR9062 2017'!$B$44),D56)</f>
        <v>146.5</v>
      </c>
      <c r="E57" s="2">
        <f t="shared" si="4"/>
        <v>0</v>
      </c>
      <c r="F57" s="2">
        <f>B57+'Cálculos NBR9062 2017'!$B$86*C57/'Cálculos NBR9062 2017'!$B$36</f>
        <v>0</v>
      </c>
      <c r="G57" s="104">
        <f t="shared" si="2"/>
        <v>0</v>
      </c>
      <c r="Q57" s="1">
        <v>46</v>
      </c>
      <c r="T57" s="65">
        <f>IF(MOD(Q57,5)=0,T56+('Cálculos Eurocode'!$B$51+'Cálculos Eurocode'!$B$52),T56)</f>
        <v>146.5</v>
      </c>
      <c r="U57" s="100">
        <f t="shared" si="5"/>
        <v>0</v>
      </c>
      <c r="V57" s="2">
        <f>R57+'Cálculos NBR9062 2017'!$B$86*S57/'Cálculos NBR9062 2017'!$B$36</f>
        <v>0</v>
      </c>
      <c r="W57" s="104">
        <f t="shared" si="3"/>
        <v>0</v>
      </c>
    </row>
    <row r="58" spans="1:23" x14ac:dyDescent="0.25">
      <c r="A58" s="83">
        <v>47</v>
      </c>
      <c r="D58" s="65">
        <f>IF(MOD(A58,5)=0,D57+('Cálculos NBR9062 2017'!$B$45+'Cálculos NBR9062 2017'!$B$44),D57)</f>
        <v>146.5</v>
      </c>
      <c r="E58" s="2">
        <f t="shared" si="4"/>
        <v>0</v>
      </c>
      <c r="F58" s="2">
        <f>B58+'Cálculos NBR9062 2017'!$B$86*C58/'Cálculos NBR9062 2017'!$B$36</f>
        <v>0</v>
      </c>
      <c r="G58" s="104">
        <f t="shared" si="2"/>
        <v>0</v>
      </c>
      <c r="Q58" s="83">
        <v>47</v>
      </c>
      <c r="T58" s="65">
        <f>IF(MOD(Q58,5)=0,T57+('Cálculos Eurocode'!$B$51+'Cálculos Eurocode'!$B$52),T57)</f>
        <v>146.5</v>
      </c>
      <c r="U58" s="100">
        <f t="shared" si="5"/>
        <v>0</v>
      </c>
      <c r="V58" s="2">
        <f>R58+'Cálculos NBR9062 2017'!$B$86*S58/'Cálculos NBR9062 2017'!$B$36</f>
        <v>0</v>
      </c>
      <c r="W58" s="104">
        <f t="shared" si="3"/>
        <v>0</v>
      </c>
    </row>
    <row r="59" spans="1:23" x14ac:dyDescent="0.25">
      <c r="A59" s="83">
        <v>48</v>
      </c>
      <c r="D59" s="65">
        <f>IF(MOD(A59,5)=0,D58+('Cálculos NBR9062 2017'!$B$45+'Cálculos NBR9062 2017'!$B$44),D58)</f>
        <v>146.5</v>
      </c>
      <c r="E59" s="2">
        <f t="shared" si="4"/>
        <v>0</v>
      </c>
      <c r="F59" s="2">
        <f>B59+'Cálculos NBR9062 2017'!$B$86*C59/'Cálculos NBR9062 2017'!$B$36</f>
        <v>0</v>
      </c>
      <c r="G59" s="104">
        <f t="shared" si="2"/>
        <v>0</v>
      </c>
      <c r="Q59" s="83">
        <v>48</v>
      </c>
      <c r="T59" s="65">
        <f>IF(MOD(Q59,5)=0,T58+('Cálculos Eurocode'!$B$51+'Cálculos Eurocode'!$B$52),T58)</f>
        <v>146.5</v>
      </c>
      <c r="U59" s="100">
        <f t="shared" si="5"/>
        <v>0</v>
      </c>
      <c r="V59" s="2">
        <f>R59+'Cálculos NBR9062 2017'!$B$86*S59/'Cálculos NBR9062 2017'!$B$36</f>
        <v>0</v>
      </c>
      <c r="W59" s="104">
        <f t="shared" si="3"/>
        <v>0</v>
      </c>
    </row>
    <row r="60" spans="1:23" x14ac:dyDescent="0.25">
      <c r="A60" s="83">
        <v>49</v>
      </c>
      <c r="D60" s="65">
        <f>IF(MOD(A60,5)=0,D59+('Cálculos NBR9062 2017'!$B$45+'Cálculos NBR9062 2017'!$B$44),D59)</f>
        <v>146.5</v>
      </c>
      <c r="E60" s="2">
        <f t="shared" si="4"/>
        <v>0</v>
      </c>
      <c r="F60" s="2">
        <f>B60+'Cálculos NBR9062 2017'!$B$86*C60/'Cálculos NBR9062 2017'!$B$36</f>
        <v>0</v>
      </c>
      <c r="G60" s="104">
        <f t="shared" si="2"/>
        <v>0</v>
      </c>
      <c r="Q60" s="83">
        <v>49</v>
      </c>
      <c r="T60" s="65">
        <f>IF(MOD(Q60,5)=0,T59+('Cálculos Eurocode'!$B$51+'Cálculos Eurocode'!$B$52),T59)</f>
        <v>146.5</v>
      </c>
      <c r="U60" s="100">
        <f t="shared" si="5"/>
        <v>0</v>
      </c>
      <c r="V60" s="2">
        <f>R60+'Cálculos NBR9062 2017'!$B$86*S60/'Cálculos NBR9062 2017'!$B$36</f>
        <v>0</v>
      </c>
      <c r="W60" s="104">
        <f t="shared" si="3"/>
        <v>0</v>
      </c>
    </row>
    <row r="61" spans="1:23" x14ac:dyDescent="0.25">
      <c r="A61" s="83">
        <v>50</v>
      </c>
      <c r="D61" s="65">
        <f>IF(MOD(A61,5)=0,D60+('Cálculos NBR9062 2017'!$B$45+'Cálculos NBR9062 2017'!$B$44),D60)</f>
        <v>162.5</v>
      </c>
      <c r="E61" s="2">
        <f t="shared" si="4"/>
        <v>0</v>
      </c>
      <c r="F61" s="2">
        <f>B61+'Cálculos NBR9062 2017'!$B$86*C61/'Cálculos NBR9062 2017'!$B$36</f>
        <v>0</v>
      </c>
      <c r="G61" s="104">
        <f t="shared" si="2"/>
        <v>0</v>
      </c>
      <c r="Q61" s="83">
        <v>50</v>
      </c>
      <c r="T61" s="65">
        <f>IF(MOD(Q61,5)=0,T60+('Cálculos Eurocode'!$B$51+'Cálculos Eurocode'!$B$52),T60)</f>
        <v>162.5</v>
      </c>
      <c r="U61" s="100">
        <f t="shared" si="5"/>
        <v>0</v>
      </c>
      <c r="V61" s="2">
        <f>R61+'Cálculos NBR9062 2017'!$B$86*S61/'Cálculos NBR9062 2017'!$B$36</f>
        <v>0</v>
      </c>
      <c r="W61" s="104">
        <f t="shared" si="3"/>
        <v>0</v>
      </c>
    </row>
    <row r="62" spans="1:23" x14ac:dyDescent="0.25">
      <c r="A62" s="1">
        <v>51</v>
      </c>
      <c r="D62" s="65">
        <f>IF(MOD(A62,5)=0,D61+('Cálculos NBR9062 2017'!$B$45+'Cálculos NBR9062 2017'!$B$44),D61)</f>
        <v>162.5</v>
      </c>
      <c r="E62" s="2">
        <f t="shared" si="4"/>
        <v>0</v>
      </c>
      <c r="F62" s="2">
        <f>B62+'Cálculos NBR9062 2017'!$B$86*C62/'Cálculos NBR9062 2017'!$B$36</f>
        <v>0</v>
      </c>
      <c r="G62" s="104">
        <f t="shared" si="2"/>
        <v>0</v>
      </c>
      <c r="Q62" s="1">
        <v>51</v>
      </c>
      <c r="T62" s="65">
        <f>IF(MOD(Q62,5)=0,T61+('Cálculos Eurocode'!$B$51+'Cálculos Eurocode'!$B$52),T61)</f>
        <v>162.5</v>
      </c>
      <c r="U62" s="100">
        <f t="shared" si="5"/>
        <v>0</v>
      </c>
      <c r="V62" s="2">
        <f>R62+'Cálculos NBR9062 2017'!$B$86*S62/'Cálculos NBR9062 2017'!$B$36</f>
        <v>0</v>
      </c>
      <c r="W62" s="104">
        <f t="shared" si="3"/>
        <v>0</v>
      </c>
    </row>
    <row r="63" spans="1:23" x14ac:dyDescent="0.25">
      <c r="A63" s="1">
        <v>52</v>
      </c>
      <c r="D63" s="65">
        <f>IF(MOD(A63,5)=0,D62+('Cálculos NBR9062 2017'!$B$45+'Cálculos NBR9062 2017'!$B$44),D62)</f>
        <v>162.5</v>
      </c>
      <c r="E63" s="2">
        <f t="shared" si="4"/>
        <v>0</v>
      </c>
      <c r="F63" s="2">
        <f>B63+'Cálculos NBR9062 2017'!$B$86*C63/'Cálculos NBR9062 2017'!$B$36</f>
        <v>0</v>
      </c>
      <c r="G63" s="104">
        <f t="shared" si="2"/>
        <v>0</v>
      </c>
      <c r="Q63" s="1">
        <v>52</v>
      </c>
      <c r="T63" s="65">
        <f>IF(MOD(Q63,5)=0,T62+('Cálculos Eurocode'!$B$51+'Cálculos Eurocode'!$B$52),T62)</f>
        <v>162.5</v>
      </c>
      <c r="U63" s="100">
        <f t="shared" si="5"/>
        <v>0</v>
      </c>
      <c r="V63" s="2">
        <f>R63+'Cálculos NBR9062 2017'!$B$86*S63/'Cálculos NBR9062 2017'!$B$36</f>
        <v>0</v>
      </c>
      <c r="W63" s="104">
        <f t="shared" si="3"/>
        <v>0</v>
      </c>
    </row>
    <row r="64" spans="1:23" x14ac:dyDescent="0.25">
      <c r="A64" s="1">
        <v>53</v>
      </c>
      <c r="D64" s="65">
        <f>IF(MOD(A64,5)=0,D63+('Cálculos NBR9062 2017'!$B$45+'Cálculos NBR9062 2017'!$B$44),D63)</f>
        <v>162.5</v>
      </c>
      <c r="E64" s="2">
        <f t="shared" si="4"/>
        <v>0</v>
      </c>
      <c r="F64" s="2">
        <f>B64+'Cálculos NBR9062 2017'!$B$86*C64/'Cálculos NBR9062 2017'!$B$36</f>
        <v>0</v>
      </c>
      <c r="G64" s="104">
        <f t="shared" si="2"/>
        <v>0</v>
      </c>
      <c r="Q64" s="1">
        <v>53</v>
      </c>
      <c r="T64" s="65">
        <f>IF(MOD(Q64,5)=0,T63+('Cálculos Eurocode'!$B$51+'Cálculos Eurocode'!$B$52),T63)</f>
        <v>162.5</v>
      </c>
      <c r="U64" s="100">
        <f t="shared" si="5"/>
        <v>0</v>
      </c>
      <c r="V64" s="2">
        <f>R64+'Cálculos NBR9062 2017'!$B$86*S64/'Cálculos NBR9062 2017'!$B$36</f>
        <v>0</v>
      </c>
      <c r="W64" s="104">
        <f t="shared" si="3"/>
        <v>0</v>
      </c>
    </row>
    <row r="65" spans="1:23" x14ac:dyDescent="0.25">
      <c r="A65" s="1">
        <v>54</v>
      </c>
      <c r="D65" s="65">
        <f>IF(MOD(A65,5)=0,D64+('Cálculos NBR9062 2017'!$B$45+'Cálculos NBR9062 2017'!$B$44),D64)</f>
        <v>162.5</v>
      </c>
      <c r="E65" s="2">
        <f t="shared" si="4"/>
        <v>0</v>
      </c>
      <c r="F65" s="2">
        <f>B65+'Cálculos NBR9062 2017'!$B$86*C65/'Cálculos NBR9062 2017'!$B$36</f>
        <v>0</v>
      </c>
      <c r="G65" s="104">
        <f t="shared" si="2"/>
        <v>0</v>
      </c>
      <c r="Q65" s="1">
        <v>54</v>
      </c>
      <c r="T65" s="65">
        <f>IF(MOD(Q65,5)=0,T64+('Cálculos Eurocode'!$B$51+'Cálculos Eurocode'!$B$52),T64)</f>
        <v>162.5</v>
      </c>
      <c r="U65" s="100">
        <f t="shared" si="5"/>
        <v>0</v>
      </c>
      <c r="V65" s="2">
        <f>R65+'Cálculos NBR9062 2017'!$B$86*S65/'Cálculos NBR9062 2017'!$B$36</f>
        <v>0</v>
      </c>
      <c r="W65" s="104">
        <f t="shared" si="3"/>
        <v>0</v>
      </c>
    </row>
    <row r="66" spans="1:23" x14ac:dyDescent="0.25">
      <c r="A66" s="1">
        <v>55</v>
      </c>
      <c r="D66" s="65">
        <f>IF(MOD(A66,5)=0,D65+('Cálculos NBR9062 2017'!$B$45+'Cálculos NBR9062 2017'!$B$44),D65)</f>
        <v>178.5</v>
      </c>
      <c r="E66" s="2">
        <f t="shared" si="4"/>
        <v>0</v>
      </c>
      <c r="F66" s="2">
        <f>B66+'Cálculos NBR9062 2017'!$B$86*C66/'Cálculos NBR9062 2017'!$B$36</f>
        <v>0</v>
      </c>
      <c r="G66" s="104">
        <f t="shared" si="2"/>
        <v>0</v>
      </c>
      <c r="Q66" s="1">
        <v>55</v>
      </c>
      <c r="T66" s="65">
        <f>IF(MOD(Q66,5)=0,T65+('Cálculos Eurocode'!$B$51+'Cálculos Eurocode'!$B$52),T65)</f>
        <v>178.5</v>
      </c>
      <c r="U66" s="100">
        <f t="shared" si="5"/>
        <v>0</v>
      </c>
      <c r="V66" s="2">
        <f>R66+'Cálculos NBR9062 2017'!$B$86*S66/'Cálculos NBR9062 2017'!$B$36</f>
        <v>0</v>
      </c>
      <c r="W66" s="104">
        <f t="shared" si="3"/>
        <v>0</v>
      </c>
    </row>
    <row r="67" spans="1:23" x14ac:dyDescent="0.25">
      <c r="A67" s="1">
        <v>56</v>
      </c>
      <c r="D67" s="65">
        <f>IF(MOD(A67,5)=0,D66+('Cálculos NBR9062 2017'!$B$45+'Cálculos NBR9062 2017'!$B$44),D66)</f>
        <v>178.5</v>
      </c>
      <c r="E67" s="2">
        <f t="shared" si="4"/>
        <v>0</v>
      </c>
      <c r="F67" s="2">
        <f>B67+'Cálculos NBR9062 2017'!$B$86*C67/'Cálculos NBR9062 2017'!$B$36</f>
        <v>0</v>
      </c>
      <c r="G67" s="104">
        <f t="shared" si="2"/>
        <v>0</v>
      </c>
      <c r="Q67" s="1">
        <v>56</v>
      </c>
      <c r="T67" s="65">
        <f>IF(MOD(Q67,5)=0,T66+('Cálculos Eurocode'!$B$51+'Cálculos Eurocode'!$B$52),T66)</f>
        <v>178.5</v>
      </c>
      <c r="U67" s="100">
        <f t="shared" si="5"/>
        <v>0</v>
      </c>
      <c r="V67" s="2">
        <f>R67+'Cálculos NBR9062 2017'!$B$86*S67/'Cálculos NBR9062 2017'!$B$36</f>
        <v>0</v>
      </c>
      <c r="W67" s="104">
        <f t="shared" si="3"/>
        <v>0</v>
      </c>
    </row>
    <row r="68" spans="1:23" x14ac:dyDescent="0.25">
      <c r="A68" s="83">
        <v>57</v>
      </c>
      <c r="D68" s="65">
        <f>IF(MOD(A68,5)=0,D67+('Cálculos NBR9062 2017'!$B$45+'Cálculos NBR9062 2017'!$B$44),D67)</f>
        <v>178.5</v>
      </c>
      <c r="E68" s="2">
        <f t="shared" si="4"/>
        <v>0</v>
      </c>
      <c r="F68" s="2">
        <f>B68+'Cálculos NBR9062 2017'!$B$86*C68/'Cálculos NBR9062 2017'!$B$36</f>
        <v>0</v>
      </c>
      <c r="G68" s="104">
        <f t="shared" si="2"/>
        <v>0</v>
      </c>
      <c r="Q68" s="83">
        <v>57</v>
      </c>
      <c r="T68" s="65">
        <f>IF(MOD(Q68,5)=0,T67+('Cálculos Eurocode'!$B$51+'Cálculos Eurocode'!$B$52),T67)</f>
        <v>178.5</v>
      </c>
      <c r="U68" s="100">
        <f t="shared" si="5"/>
        <v>0</v>
      </c>
      <c r="V68" s="2">
        <f>R68+'Cálculos NBR9062 2017'!$B$86*S68/'Cálculos NBR9062 2017'!$B$36</f>
        <v>0</v>
      </c>
      <c r="W68" s="104">
        <f t="shared" si="3"/>
        <v>0</v>
      </c>
    </row>
    <row r="69" spans="1:23" x14ac:dyDescent="0.25">
      <c r="A69" s="83">
        <v>58</v>
      </c>
      <c r="D69" s="65">
        <f>IF(MOD(A69,5)=0,D68+('Cálculos NBR9062 2017'!$B$45+'Cálculos NBR9062 2017'!$B$44),D68)</f>
        <v>178.5</v>
      </c>
      <c r="E69" s="2">
        <f t="shared" si="4"/>
        <v>0</v>
      </c>
      <c r="F69" s="2">
        <f>B69+'Cálculos NBR9062 2017'!$B$86*C69/'Cálculos NBR9062 2017'!$B$36</f>
        <v>0</v>
      </c>
      <c r="G69" s="104">
        <f t="shared" si="2"/>
        <v>0</v>
      </c>
      <c r="Q69" s="83">
        <v>58</v>
      </c>
      <c r="T69" s="65">
        <f>IF(MOD(Q69,5)=0,T68+('Cálculos Eurocode'!$B$51+'Cálculos Eurocode'!$B$52),T68)</f>
        <v>178.5</v>
      </c>
      <c r="U69" s="100">
        <f t="shared" si="5"/>
        <v>0</v>
      </c>
      <c r="V69" s="2">
        <f>R69+'Cálculos NBR9062 2017'!$B$86*S69/'Cálculos NBR9062 2017'!$B$36</f>
        <v>0</v>
      </c>
      <c r="W69" s="104">
        <f t="shared" si="3"/>
        <v>0</v>
      </c>
    </row>
    <row r="70" spans="1:23" x14ac:dyDescent="0.25">
      <c r="A70" s="83">
        <v>59</v>
      </c>
      <c r="D70" s="65">
        <f>IF(MOD(A70,5)=0,D69+('Cálculos NBR9062 2017'!$B$45+'Cálculos NBR9062 2017'!$B$44),D69)</f>
        <v>178.5</v>
      </c>
      <c r="E70" s="2">
        <f t="shared" si="4"/>
        <v>0</v>
      </c>
      <c r="F70" s="2">
        <f>B70+'Cálculos NBR9062 2017'!$B$86*C70/'Cálculos NBR9062 2017'!$B$36</f>
        <v>0</v>
      </c>
      <c r="G70" s="104">
        <f t="shared" si="2"/>
        <v>0</v>
      </c>
      <c r="Q70" s="83">
        <v>59</v>
      </c>
      <c r="T70" s="65">
        <f>IF(MOD(Q70,5)=0,T69+('Cálculos Eurocode'!$B$51+'Cálculos Eurocode'!$B$52),T69)</f>
        <v>178.5</v>
      </c>
      <c r="U70" s="100">
        <f t="shared" si="5"/>
        <v>0</v>
      </c>
      <c r="V70" s="2">
        <f>R70+'Cálculos NBR9062 2017'!$B$86*S70/'Cálculos NBR9062 2017'!$B$36</f>
        <v>0</v>
      </c>
      <c r="W70" s="104">
        <f t="shared" si="3"/>
        <v>0</v>
      </c>
    </row>
    <row r="71" spans="1:23" x14ac:dyDescent="0.25">
      <c r="A71" s="83">
        <v>60</v>
      </c>
      <c r="D71" s="65">
        <f>IF(MOD(A71,5)=0,D70+('Cálculos NBR9062 2017'!$B$45+'Cálculos NBR9062 2017'!$B$44),D70)</f>
        <v>194.5</v>
      </c>
      <c r="E71" s="2">
        <f t="shared" si="4"/>
        <v>0</v>
      </c>
      <c r="F71" s="2">
        <f>B71+'Cálculos NBR9062 2017'!$B$86*C71/'Cálculos NBR9062 2017'!$B$36</f>
        <v>0</v>
      </c>
      <c r="G71" s="104">
        <f t="shared" si="2"/>
        <v>0</v>
      </c>
      <c r="Q71" s="83">
        <v>60</v>
      </c>
      <c r="T71" s="65">
        <f>IF(MOD(Q71,5)=0,T70+('Cálculos Eurocode'!$B$51+'Cálculos Eurocode'!$B$52),T70)</f>
        <v>194.5</v>
      </c>
      <c r="U71" s="100">
        <f t="shared" si="5"/>
        <v>0</v>
      </c>
      <c r="V71" s="2">
        <f>R71+'Cálculos NBR9062 2017'!$B$86*S71/'Cálculos NBR9062 2017'!$B$36</f>
        <v>0</v>
      </c>
      <c r="W71" s="104">
        <f t="shared" si="3"/>
        <v>0</v>
      </c>
    </row>
    <row r="72" spans="1:23" x14ac:dyDescent="0.25">
      <c r="A72" s="1">
        <v>61</v>
      </c>
      <c r="D72" s="65">
        <f>IF(MOD(A72,5)=0,D71+('Cálculos NBR9062 2017'!$B$45+'Cálculos NBR9062 2017'!$B$44),D71)</f>
        <v>194.5</v>
      </c>
      <c r="E72" s="2">
        <f t="shared" si="4"/>
        <v>0</v>
      </c>
      <c r="F72" s="2">
        <f>B72+'Cálculos NBR9062 2017'!$B$86*C72/'Cálculos NBR9062 2017'!$B$36</f>
        <v>0</v>
      </c>
      <c r="G72" s="104">
        <f t="shared" si="2"/>
        <v>0</v>
      </c>
      <c r="Q72" s="1">
        <v>61</v>
      </c>
      <c r="T72" s="65">
        <f>IF(MOD(Q72,5)=0,T71+('Cálculos Eurocode'!$B$51+'Cálculos Eurocode'!$B$52),T71)</f>
        <v>194.5</v>
      </c>
      <c r="U72" s="100">
        <f t="shared" si="5"/>
        <v>0</v>
      </c>
      <c r="V72" s="2">
        <f>R72+'Cálculos NBR9062 2017'!$B$86*S72/'Cálculos NBR9062 2017'!$B$36</f>
        <v>0</v>
      </c>
      <c r="W72" s="104">
        <f t="shared" si="3"/>
        <v>0</v>
      </c>
    </row>
    <row r="73" spans="1:23" x14ac:dyDescent="0.25">
      <c r="A73" s="1">
        <v>62</v>
      </c>
      <c r="D73" s="65">
        <f>IF(MOD(A73,5)=0,D72+('Cálculos NBR9062 2017'!$B$45+'Cálculos NBR9062 2017'!$B$44),D72)</f>
        <v>194.5</v>
      </c>
      <c r="E73" s="2">
        <f t="shared" si="4"/>
        <v>0</v>
      </c>
      <c r="F73" s="2">
        <f>B73+'Cálculos NBR9062 2017'!$B$86*C73/'Cálculos NBR9062 2017'!$B$36</f>
        <v>0</v>
      </c>
      <c r="G73" s="104">
        <f t="shared" si="2"/>
        <v>0</v>
      </c>
      <c r="Q73" s="1">
        <v>62</v>
      </c>
      <c r="T73" s="65">
        <f>IF(MOD(Q73,5)=0,T72+('Cálculos Eurocode'!$B$51+'Cálculos Eurocode'!$B$52),T72)</f>
        <v>194.5</v>
      </c>
      <c r="U73" s="100">
        <f t="shared" si="5"/>
        <v>0</v>
      </c>
      <c r="V73" s="2">
        <f>R73+'Cálculos NBR9062 2017'!$B$86*S73/'Cálculos NBR9062 2017'!$B$36</f>
        <v>0</v>
      </c>
      <c r="W73" s="104">
        <f t="shared" si="3"/>
        <v>0</v>
      </c>
    </row>
    <row r="74" spans="1:23" x14ac:dyDescent="0.25">
      <c r="A74" s="1">
        <v>63</v>
      </c>
      <c r="D74" s="65">
        <f>IF(MOD(A74,5)=0,D73+('Cálculos NBR9062 2017'!$B$45+'Cálculos NBR9062 2017'!$B$44),D73)</f>
        <v>194.5</v>
      </c>
      <c r="E74" s="2">
        <f t="shared" si="4"/>
        <v>0</v>
      </c>
      <c r="F74" s="2">
        <f>B74+'Cálculos NBR9062 2017'!$B$86*C74/'Cálculos NBR9062 2017'!$B$36</f>
        <v>0</v>
      </c>
      <c r="G74" s="104">
        <f t="shared" si="2"/>
        <v>0</v>
      </c>
      <c r="Q74" s="1">
        <v>63</v>
      </c>
      <c r="T74" s="65">
        <f>IF(MOD(Q74,5)=0,T73+('Cálculos Eurocode'!$B$51+'Cálculos Eurocode'!$B$52),T73)</f>
        <v>194.5</v>
      </c>
      <c r="U74" s="100">
        <f t="shared" si="5"/>
        <v>0</v>
      </c>
      <c r="V74" s="2">
        <f>R74+'Cálculos NBR9062 2017'!$B$86*S74/'Cálculos NBR9062 2017'!$B$36</f>
        <v>0</v>
      </c>
      <c r="W74" s="104">
        <f t="shared" si="3"/>
        <v>0</v>
      </c>
    </row>
    <row r="75" spans="1:23" x14ac:dyDescent="0.25">
      <c r="A75" s="1">
        <v>64</v>
      </c>
      <c r="D75" s="65">
        <f>IF(MOD(A75,5)=0,D74+('Cálculos NBR9062 2017'!$B$45+'Cálculos NBR9062 2017'!$B$44),D74)</f>
        <v>194.5</v>
      </c>
      <c r="E75" s="2">
        <f t="shared" si="4"/>
        <v>0</v>
      </c>
      <c r="F75" s="2">
        <f>B75+'Cálculos NBR9062 2017'!$B$86*C75/'Cálculos NBR9062 2017'!$B$36</f>
        <v>0</v>
      </c>
      <c r="G75" s="104">
        <f t="shared" si="2"/>
        <v>0</v>
      </c>
      <c r="Q75" s="1">
        <v>64</v>
      </c>
      <c r="T75" s="65">
        <f>IF(MOD(Q75,5)=0,T74+('Cálculos Eurocode'!$B$51+'Cálculos Eurocode'!$B$52),T74)</f>
        <v>194.5</v>
      </c>
      <c r="U75" s="100">
        <f t="shared" si="5"/>
        <v>0</v>
      </c>
      <c r="V75" s="2">
        <f>R75+'Cálculos NBR9062 2017'!$B$86*S75/'Cálculos NBR9062 2017'!$B$36</f>
        <v>0</v>
      </c>
      <c r="W75" s="104">
        <f t="shared" si="3"/>
        <v>0</v>
      </c>
    </row>
    <row r="76" spans="1:23" x14ac:dyDescent="0.25">
      <c r="A76" s="1">
        <v>65</v>
      </c>
      <c r="D76" s="65">
        <f>IF(MOD(A76,5)=0,D75+('Cálculos NBR9062 2017'!$B$45+'Cálculos NBR9062 2017'!$B$44),D75)</f>
        <v>210.5</v>
      </c>
      <c r="E76" s="2">
        <f t="shared" si="4"/>
        <v>0</v>
      </c>
      <c r="F76" s="2">
        <f>B76+'Cálculos NBR9062 2017'!$B$86*C76/'Cálculos NBR9062 2017'!$B$36</f>
        <v>0</v>
      </c>
      <c r="G76" s="104">
        <f t="shared" si="2"/>
        <v>0</v>
      </c>
      <c r="Q76" s="1">
        <v>65</v>
      </c>
      <c r="T76" s="65">
        <f>IF(MOD(Q76,5)=0,T75+('Cálculos Eurocode'!$B$51+'Cálculos Eurocode'!$B$52),T75)</f>
        <v>210.5</v>
      </c>
      <c r="U76" s="100">
        <f t="shared" si="5"/>
        <v>0</v>
      </c>
      <c r="V76" s="2">
        <f>R76+'Cálculos NBR9062 2017'!$B$86*S76/'Cálculos NBR9062 2017'!$B$36</f>
        <v>0</v>
      </c>
      <c r="W76" s="104">
        <f t="shared" si="3"/>
        <v>0</v>
      </c>
    </row>
    <row r="77" spans="1:23" x14ac:dyDescent="0.25">
      <c r="A77" s="1">
        <v>66</v>
      </c>
      <c r="D77" s="65">
        <f>IF(MOD(A77,5)=0,D76+('Cálculos NBR9062 2017'!$B$45+'Cálculos NBR9062 2017'!$B$44),D76)</f>
        <v>210.5</v>
      </c>
      <c r="E77" s="2">
        <f t="shared" si="4"/>
        <v>0</v>
      </c>
      <c r="F77" s="2">
        <f>B77+'Cálculos NBR9062 2017'!$B$86*C77/'Cálculos NBR9062 2017'!$B$36</f>
        <v>0</v>
      </c>
      <c r="G77" s="104">
        <f t="shared" ref="G77:G140" si="6">C77</f>
        <v>0</v>
      </c>
      <c r="Q77" s="1">
        <v>66</v>
      </c>
      <c r="T77" s="65">
        <f>IF(MOD(Q77,5)=0,T76+('Cálculos Eurocode'!$B$51+'Cálculos Eurocode'!$B$52),T76)</f>
        <v>210.5</v>
      </c>
      <c r="U77" s="100">
        <f t="shared" si="5"/>
        <v>0</v>
      </c>
      <c r="V77" s="2">
        <f>R77+'Cálculos NBR9062 2017'!$B$86*S77/'Cálculos NBR9062 2017'!$B$36</f>
        <v>0</v>
      </c>
      <c r="W77" s="104">
        <f t="shared" ref="W77:W140" si="7">S77</f>
        <v>0</v>
      </c>
    </row>
    <row r="78" spans="1:23" x14ac:dyDescent="0.25">
      <c r="A78" s="83">
        <v>67</v>
      </c>
      <c r="D78" s="65">
        <f>IF(MOD(A78,5)=0,D77+('Cálculos NBR9062 2017'!$B$45+'Cálculos NBR9062 2017'!$B$44),D77)</f>
        <v>210.5</v>
      </c>
      <c r="E78" s="2">
        <f t="shared" ref="E78:E141" si="8">IF(E77=0,0,IF(MOD(A77,5)=0,IF(A77/5&gt;$E$10,0,1),1))</f>
        <v>0</v>
      </c>
      <c r="F78" s="2">
        <f>B78+'Cálculos NBR9062 2017'!$B$86*C78/'Cálculos NBR9062 2017'!$B$36</f>
        <v>0</v>
      </c>
      <c r="G78" s="104">
        <f t="shared" si="6"/>
        <v>0</v>
      </c>
      <c r="Q78" s="83">
        <v>67</v>
      </c>
      <c r="T78" s="65">
        <f>IF(MOD(Q78,5)=0,T77+('Cálculos Eurocode'!$B$51+'Cálculos Eurocode'!$B$52),T77)</f>
        <v>210.5</v>
      </c>
      <c r="U78" s="100">
        <f t="shared" ref="U78:U141" si="9">IF(U77=0,0,IF(MOD(Q77,5)=0,IF(Q77/5&gt;$U$10,0,1),1))</f>
        <v>0</v>
      </c>
      <c r="V78" s="2">
        <f>R78+'Cálculos NBR9062 2017'!$B$86*S78/'Cálculos NBR9062 2017'!$B$36</f>
        <v>0</v>
      </c>
      <c r="W78" s="104">
        <f t="shared" si="7"/>
        <v>0</v>
      </c>
    </row>
    <row r="79" spans="1:23" x14ac:dyDescent="0.25">
      <c r="A79" s="83">
        <v>68</v>
      </c>
      <c r="D79" s="65">
        <f>IF(MOD(A79,5)=0,D78+('Cálculos NBR9062 2017'!$B$45+'Cálculos NBR9062 2017'!$B$44),D78)</f>
        <v>210.5</v>
      </c>
      <c r="E79" s="2">
        <f t="shared" si="8"/>
        <v>0</v>
      </c>
      <c r="F79" s="2">
        <f>B79+'Cálculos NBR9062 2017'!$B$86*C79/'Cálculos NBR9062 2017'!$B$36</f>
        <v>0</v>
      </c>
      <c r="G79" s="104">
        <f t="shared" si="6"/>
        <v>0</v>
      </c>
      <c r="Q79" s="83">
        <v>68</v>
      </c>
      <c r="T79" s="65">
        <f>IF(MOD(Q79,5)=0,T78+('Cálculos Eurocode'!$B$51+'Cálculos Eurocode'!$B$52),T78)</f>
        <v>210.5</v>
      </c>
      <c r="U79" s="100">
        <f t="shared" si="9"/>
        <v>0</v>
      </c>
      <c r="V79" s="2">
        <f>R79+'Cálculos NBR9062 2017'!$B$86*S79/'Cálculos NBR9062 2017'!$B$36</f>
        <v>0</v>
      </c>
      <c r="W79" s="104">
        <f t="shared" si="7"/>
        <v>0</v>
      </c>
    </row>
    <row r="80" spans="1:23" x14ac:dyDescent="0.25">
      <c r="A80" s="83">
        <v>69</v>
      </c>
      <c r="D80" s="65">
        <f>IF(MOD(A80,5)=0,D79+('Cálculos NBR9062 2017'!$B$45+'Cálculos NBR9062 2017'!$B$44),D79)</f>
        <v>210.5</v>
      </c>
      <c r="E80" s="2">
        <f t="shared" si="8"/>
        <v>0</v>
      </c>
      <c r="F80" s="2">
        <f>B80+'Cálculos NBR9062 2017'!$B$86*C80/'Cálculos NBR9062 2017'!$B$36</f>
        <v>0</v>
      </c>
      <c r="G80" s="104">
        <f t="shared" si="6"/>
        <v>0</v>
      </c>
      <c r="Q80" s="83">
        <v>69</v>
      </c>
      <c r="T80" s="65">
        <f>IF(MOD(Q80,5)=0,T79+('Cálculos Eurocode'!$B$51+'Cálculos Eurocode'!$B$52),T79)</f>
        <v>210.5</v>
      </c>
      <c r="U80" s="100">
        <f t="shared" si="9"/>
        <v>0</v>
      </c>
      <c r="V80" s="2">
        <f>R80+'Cálculos NBR9062 2017'!$B$86*S80/'Cálculos NBR9062 2017'!$B$36</f>
        <v>0</v>
      </c>
      <c r="W80" s="104">
        <f t="shared" si="7"/>
        <v>0</v>
      </c>
    </row>
    <row r="81" spans="1:23" x14ac:dyDescent="0.25">
      <c r="A81" s="83">
        <v>70</v>
      </c>
      <c r="D81" s="65">
        <f>IF(MOD(A81,5)=0,D80+('Cálculos NBR9062 2017'!$B$45+'Cálculos NBR9062 2017'!$B$44),D80)</f>
        <v>226.5</v>
      </c>
      <c r="E81" s="2">
        <f t="shared" si="8"/>
        <v>0</v>
      </c>
      <c r="F81" s="2">
        <f>B81+'Cálculos NBR9062 2017'!$B$86*C81/'Cálculos NBR9062 2017'!$B$36</f>
        <v>0</v>
      </c>
      <c r="G81" s="104">
        <f t="shared" si="6"/>
        <v>0</v>
      </c>
      <c r="Q81" s="83">
        <v>70</v>
      </c>
      <c r="T81" s="65">
        <f>IF(MOD(Q81,5)=0,T80+('Cálculos Eurocode'!$B$51+'Cálculos Eurocode'!$B$52),T80)</f>
        <v>226.5</v>
      </c>
      <c r="U81" s="100">
        <f t="shared" si="9"/>
        <v>0</v>
      </c>
      <c r="V81" s="2">
        <f>R81+'Cálculos NBR9062 2017'!$B$86*S81/'Cálculos NBR9062 2017'!$B$36</f>
        <v>0</v>
      </c>
      <c r="W81" s="104">
        <f t="shared" si="7"/>
        <v>0</v>
      </c>
    </row>
    <row r="82" spans="1:23" x14ac:dyDescent="0.25">
      <c r="A82" s="1">
        <v>71</v>
      </c>
      <c r="D82" s="65">
        <f>IF(MOD(A82,5)=0,D81+('Cálculos NBR9062 2017'!$B$45+'Cálculos NBR9062 2017'!$B$44),D81)</f>
        <v>226.5</v>
      </c>
      <c r="E82" s="2">
        <f t="shared" si="8"/>
        <v>0</v>
      </c>
      <c r="F82" s="2">
        <f>B82+'Cálculos NBR9062 2017'!$B$86*C82/'Cálculos NBR9062 2017'!$B$36</f>
        <v>0</v>
      </c>
      <c r="G82" s="104">
        <f t="shared" si="6"/>
        <v>0</v>
      </c>
      <c r="Q82" s="1">
        <v>71</v>
      </c>
      <c r="T82" s="65">
        <f>IF(MOD(Q82,5)=0,T81+('Cálculos Eurocode'!$B$51+'Cálculos Eurocode'!$B$52),T81)</f>
        <v>226.5</v>
      </c>
      <c r="U82" s="100">
        <f t="shared" si="9"/>
        <v>0</v>
      </c>
      <c r="V82" s="2">
        <f>R82+'Cálculos NBR9062 2017'!$B$86*S82/'Cálculos NBR9062 2017'!$B$36</f>
        <v>0</v>
      </c>
      <c r="W82" s="104">
        <f t="shared" si="7"/>
        <v>0</v>
      </c>
    </row>
    <row r="83" spans="1:23" x14ac:dyDescent="0.25">
      <c r="A83" s="1">
        <v>72</v>
      </c>
      <c r="D83" s="65">
        <f>IF(MOD(A83,5)=0,D82+('Cálculos NBR9062 2017'!$B$45+'Cálculos NBR9062 2017'!$B$44),D82)</f>
        <v>226.5</v>
      </c>
      <c r="E83" s="2">
        <f t="shared" si="8"/>
        <v>0</v>
      </c>
      <c r="F83" s="2">
        <f>B83+'Cálculos NBR9062 2017'!$B$86*C83/'Cálculos NBR9062 2017'!$B$36</f>
        <v>0</v>
      </c>
      <c r="G83" s="104">
        <f t="shared" si="6"/>
        <v>0</v>
      </c>
      <c r="Q83" s="1">
        <v>72</v>
      </c>
      <c r="T83" s="65">
        <f>IF(MOD(Q83,5)=0,T82+('Cálculos Eurocode'!$B$51+'Cálculos Eurocode'!$B$52),T82)</f>
        <v>226.5</v>
      </c>
      <c r="U83" s="100">
        <f t="shared" si="9"/>
        <v>0</v>
      </c>
      <c r="V83" s="2">
        <f>R83+'Cálculos NBR9062 2017'!$B$86*S83/'Cálculos NBR9062 2017'!$B$36</f>
        <v>0</v>
      </c>
      <c r="W83" s="104">
        <f t="shared" si="7"/>
        <v>0</v>
      </c>
    </row>
    <row r="84" spans="1:23" x14ac:dyDescent="0.25">
      <c r="A84" s="1">
        <v>73</v>
      </c>
      <c r="D84" s="65">
        <f>IF(MOD(A84,5)=0,D83+('Cálculos NBR9062 2017'!$B$45+'Cálculos NBR9062 2017'!$B$44),D83)</f>
        <v>226.5</v>
      </c>
      <c r="E84" s="2">
        <f t="shared" si="8"/>
        <v>0</v>
      </c>
      <c r="F84" s="2">
        <f>B84+'Cálculos NBR9062 2017'!$B$86*C84/'Cálculos NBR9062 2017'!$B$36</f>
        <v>0</v>
      </c>
      <c r="G84" s="104">
        <f t="shared" si="6"/>
        <v>0</v>
      </c>
      <c r="Q84" s="1">
        <v>73</v>
      </c>
      <c r="T84" s="65">
        <f>IF(MOD(Q84,5)=0,T83+('Cálculos Eurocode'!$B$51+'Cálculos Eurocode'!$B$52),T83)</f>
        <v>226.5</v>
      </c>
      <c r="U84" s="100">
        <f t="shared" si="9"/>
        <v>0</v>
      </c>
      <c r="V84" s="2">
        <f>R84+'Cálculos NBR9062 2017'!$B$86*S84/'Cálculos NBR9062 2017'!$B$36</f>
        <v>0</v>
      </c>
      <c r="W84" s="104">
        <f t="shared" si="7"/>
        <v>0</v>
      </c>
    </row>
    <row r="85" spans="1:23" x14ac:dyDescent="0.25">
      <c r="A85" s="1">
        <v>74</v>
      </c>
      <c r="D85" s="65">
        <f>IF(MOD(A85,5)=0,D84+('Cálculos NBR9062 2017'!$B$45+'Cálculos NBR9062 2017'!$B$44),D84)</f>
        <v>226.5</v>
      </c>
      <c r="E85" s="2">
        <f t="shared" si="8"/>
        <v>0</v>
      </c>
      <c r="F85" s="2">
        <f>B85+'Cálculos NBR9062 2017'!$B$86*C85/'Cálculos NBR9062 2017'!$B$36</f>
        <v>0</v>
      </c>
      <c r="G85" s="104">
        <f t="shared" si="6"/>
        <v>0</v>
      </c>
      <c r="Q85" s="1">
        <v>74</v>
      </c>
      <c r="T85" s="65">
        <f>IF(MOD(Q85,5)=0,T84+('Cálculos Eurocode'!$B$51+'Cálculos Eurocode'!$B$52),T84)</f>
        <v>226.5</v>
      </c>
      <c r="U85" s="100">
        <f t="shared" si="9"/>
        <v>0</v>
      </c>
      <c r="V85" s="2">
        <f>R85+'Cálculos NBR9062 2017'!$B$86*S85/'Cálculos NBR9062 2017'!$B$36</f>
        <v>0</v>
      </c>
      <c r="W85" s="104">
        <f t="shared" si="7"/>
        <v>0</v>
      </c>
    </row>
    <row r="86" spans="1:23" x14ac:dyDescent="0.25">
      <c r="A86" s="1">
        <v>75</v>
      </c>
      <c r="D86" s="65">
        <f>IF(MOD(A86,5)=0,D85+('Cálculos NBR9062 2017'!$B$45+'Cálculos NBR9062 2017'!$B$44),D85)</f>
        <v>242.5</v>
      </c>
      <c r="E86" s="2">
        <f t="shared" si="8"/>
        <v>0</v>
      </c>
      <c r="F86" s="2">
        <f>B86+'Cálculos NBR9062 2017'!$B$86*C86/'Cálculos NBR9062 2017'!$B$36</f>
        <v>0</v>
      </c>
      <c r="G86" s="104">
        <f t="shared" si="6"/>
        <v>0</v>
      </c>
      <c r="Q86" s="1">
        <v>75</v>
      </c>
      <c r="T86" s="65">
        <f>IF(MOD(Q86,5)=0,T85+('Cálculos Eurocode'!$B$51+'Cálculos Eurocode'!$B$52),T85)</f>
        <v>242.5</v>
      </c>
      <c r="U86" s="100">
        <f t="shared" si="9"/>
        <v>0</v>
      </c>
      <c r="V86" s="2">
        <f>R86+'Cálculos NBR9062 2017'!$B$86*S86/'Cálculos NBR9062 2017'!$B$36</f>
        <v>0</v>
      </c>
      <c r="W86" s="104">
        <f t="shared" si="7"/>
        <v>0</v>
      </c>
    </row>
    <row r="87" spans="1:23" x14ac:dyDescent="0.25">
      <c r="A87" s="1">
        <v>76</v>
      </c>
      <c r="D87" s="65">
        <f>IF(MOD(A87,5)=0,D86+('Cálculos NBR9062 2017'!$B$45+'Cálculos NBR9062 2017'!$B$44),D86)</f>
        <v>242.5</v>
      </c>
      <c r="E87" s="2">
        <f t="shared" si="8"/>
        <v>0</v>
      </c>
      <c r="F87" s="2">
        <f>B87+'Cálculos NBR9062 2017'!$B$86*C87/'Cálculos NBR9062 2017'!$B$36</f>
        <v>0</v>
      </c>
      <c r="G87" s="104">
        <f t="shared" si="6"/>
        <v>0</v>
      </c>
      <c r="Q87" s="1">
        <v>76</v>
      </c>
      <c r="T87" s="65">
        <f>IF(MOD(Q87,5)=0,T86+('Cálculos Eurocode'!$B$51+'Cálculos Eurocode'!$B$52),T86)</f>
        <v>242.5</v>
      </c>
      <c r="U87" s="100">
        <f t="shared" si="9"/>
        <v>0</v>
      </c>
      <c r="V87" s="2">
        <f>R87+'Cálculos NBR9062 2017'!$B$86*S87/'Cálculos NBR9062 2017'!$B$36</f>
        <v>0</v>
      </c>
      <c r="W87" s="104">
        <f t="shared" si="7"/>
        <v>0</v>
      </c>
    </row>
    <row r="88" spans="1:23" x14ac:dyDescent="0.25">
      <c r="A88" s="83">
        <v>77</v>
      </c>
      <c r="D88" s="65">
        <f>IF(MOD(A88,5)=0,D87+('Cálculos NBR9062 2017'!$B$45+'Cálculos NBR9062 2017'!$B$44),D87)</f>
        <v>242.5</v>
      </c>
      <c r="E88" s="2">
        <f t="shared" si="8"/>
        <v>0</v>
      </c>
      <c r="F88" s="2">
        <f>B88+'Cálculos NBR9062 2017'!$B$86*C88/'Cálculos NBR9062 2017'!$B$36</f>
        <v>0</v>
      </c>
      <c r="G88" s="104">
        <f t="shared" si="6"/>
        <v>0</v>
      </c>
      <c r="Q88" s="83">
        <v>77</v>
      </c>
      <c r="T88" s="65">
        <f>IF(MOD(Q88,5)=0,T87+('Cálculos Eurocode'!$B$51+'Cálculos Eurocode'!$B$52),T87)</f>
        <v>242.5</v>
      </c>
      <c r="U88" s="100">
        <f t="shared" si="9"/>
        <v>0</v>
      </c>
      <c r="V88" s="2">
        <f>R88+'Cálculos NBR9062 2017'!$B$86*S88/'Cálculos NBR9062 2017'!$B$36</f>
        <v>0</v>
      </c>
      <c r="W88" s="104">
        <f t="shared" si="7"/>
        <v>0</v>
      </c>
    </row>
    <row r="89" spans="1:23" x14ac:dyDescent="0.25">
      <c r="A89" s="83">
        <v>78</v>
      </c>
      <c r="D89" s="65">
        <f>IF(MOD(A89,5)=0,D88+('Cálculos NBR9062 2017'!$B$45+'Cálculos NBR9062 2017'!$B$44),D88)</f>
        <v>242.5</v>
      </c>
      <c r="E89" s="2">
        <f t="shared" si="8"/>
        <v>0</v>
      </c>
      <c r="F89" s="2">
        <f>B89+'Cálculos NBR9062 2017'!$B$86*C89/'Cálculos NBR9062 2017'!$B$36</f>
        <v>0</v>
      </c>
      <c r="G89" s="104">
        <f t="shared" si="6"/>
        <v>0</v>
      </c>
      <c r="Q89" s="83">
        <v>78</v>
      </c>
      <c r="T89" s="65">
        <f>IF(MOD(Q89,5)=0,T88+('Cálculos Eurocode'!$B$51+'Cálculos Eurocode'!$B$52),T88)</f>
        <v>242.5</v>
      </c>
      <c r="U89" s="100">
        <f t="shared" si="9"/>
        <v>0</v>
      </c>
      <c r="V89" s="2">
        <f>R89+'Cálculos NBR9062 2017'!$B$86*S89/'Cálculos NBR9062 2017'!$B$36</f>
        <v>0</v>
      </c>
      <c r="W89" s="104">
        <f t="shared" si="7"/>
        <v>0</v>
      </c>
    </row>
    <row r="90" spans="1:23" x14ac:dyDescent="0.25">
      <c r="A90" s="83">
        <v>79</v>
      </c>
      <c r="D90" s="65">
        <f>IF(MOD(A90,5)=0,D89+('Cálculos NBR9062 2017'!$B$45+'Cálculos NBR9062 2017'!$B$44),D89)</f>
        <v>242.5</v>
      </c>
      <c r="E90" s="2">
        <f t="shared" si="8"/>
        <v>0</v>
      </c>
      <c r="F90" s="2">
        <f>B90+'Cálculos NBR9062 2017'!$B$86*C90/'Cálculos NBR9062 2017'!$B$36</f>
        <v>0</v>
      </c>
      <c r="G90" s="104">
        <f t="shared" si="6"/>
        <v>0</v>
      </c>
      <c r="Q90" s="83">
        <v>79</v>
      </c>
      <c r="T90" s="65">
        <f>IF(MOD(Q90,5)=0,T89+('Cálculos Eurocode'!$B$51+'Cálculos Eurocode'!$B$52),T89)</f>
        <v>242.5</v>
      </c>
      <c r="U90" s="100">
        <f t="shared" si="9"/>
        <v>0</v>
      </c>
      <c r="V90" s="2">
        <f>R90+'Cálculos NBR9062 2017'!$B$86*S90/'Cálculos NBR9062 2017'!$B$36</f>
        <v>0</v>
      </c>
      <c r="W90" s="104">
        <f t="shared" si="7"/>
        <v>0</v>
      </c>
    </row>
    <row r="91" spans="1:23" x14ac:dyDescent="0.25">
      <c r="A91" s="83">
        <v>80</v>
      </c>
      <c r="D91" s="65">
        <f>IF(MOD(A91,5)=0,D90+('Cálculos NBR9062 2017'!$B$45+'Cálculos NBR9062 2017'!$B$44),D90)</f>
        <v>258.5</v>
      </c>
      <c r="E91" s="2">
        <f t="shared" si="8"/>
        <v>0</v>
      </c>
      <c r="F91" s="2">
        <f>B91+'Cálculos NBR9062 2017'!$B$86*C91/'Cálculos NBR9062 2017'!$B$36</f>
        <v>0</v>
      </c>
      <c r="G91" s="104">
        <f t="shared" si="6"/>
        <v>0</v>
      </c>
      <c r="Q91" s="83">
        <v>80</v>
      </c>
      <c r="T91" s="65">
        <f>IF(MOD(Q91,5)=0,T90+('Cálculos Eurocode'!$B$51+'Cálculos Eurocode'!$B$52),T90)</f>
        <v>258.5</v>
      </c>
      <c r="U91" s="100">
        <f t="shared" si="9"/>
        <v>0</v>
      </c>
      <c r="V91" s="2">
        <f>R91+'Cálculos NBR9062 2017'!$B$86*S91/'Cálculos NBR9062 2017'!$B$36</f>
        <v>0</v>
      </c>
      <c r="W91" s="104">
        <f t="shared" si="7"/>
        <v>0</v>
      </c>
    </row>
    <row r="92" spans="1:23" x14ac:dyDescent="0.25">
      <c r="A92" s="1">
        <v>81</v>
      </c>
      <c r="D92" s="65">
        <f>IF(MOD(A92,5)=0,D91+('Cálculos NBR9062 2017'!$B$45+'Cálculos NBR9062 2017'!$B$44),D91)</f>
        <v>258.5</v>
      </c>
      <c r="E92" s="2">
        <f t="shared" si="8"/>
        <v>0</v>
      </c>
      <c r="F92" s="2">
        <f>B92+'Cálculos NBR9062 2017'!$B$86*C92/'Cálculos NBR9062 2017'!$B$36</f>
        <v>0</v>
      </c>
      <c r="G92" s="104">
        <f t="shared" si="6"/>
        <v>0</v>
      </c>
      <c r="Q92" s="1">
        <v>81</v>
      </c>
      <c r="T92" s="65">
        <f>IF(MOD(Q92,5)=0,T91+('Cálculos Eurocode'!$B$51+'Cálculos Eurocode'!$B$52),T91)</f>
        <v>258.5</v>
      </c>
      <c r="U92" s="100">
        <f t="shared" si="9"/>
        <v>0</v>
      </c>
      <c r="V92" s="2">
        <f>R92+'Cálculos NBR9062 2017'!$B$86*S92/'Cálculos NBR9062 2017'!$B$36</f>
        <v>0</v>
      </c>
      <c r="W92" s="104">
        <f t="shared" si="7"/>
        <v>0</v>
      </c>
    </row>
    <row r="93" spans="1:23" x14ac:dyDescent="0.25">
      <c r="A93" s="1">
        <v>82</v>
      </c>
      <c r="D93" s="65">
        <f>IF(MOD(A93,5)=0,D92+('Cálculos NBR9062 2017'!$B$45+'Cálculos NBR9062 2017'!$B$44),D92)</f>
        <v>258.5</v>
      </c>
      <c r="E93" s="2">
        <f t="shared" si="8"/>
        <v>0</v>
      </c>
      <c r="F93" s="2">
        <f>B93+'Cálculos NBR9062 2017'!$B$86*C93/'Cálculos NBR9062 2017'!$B$36</f>
        <v>0</v>
      </c>
      <c r="G93" s="104">
        <f t="shared" si="6"/>
        <v>0</v>
      </c>
      <c r="Q93" s="1">
        <v>82</v>
      </c>
      <c r="T93" s="65">
        <f>IF(MOD(Q93,5)=0,T92+('Cálculos Eurocode'!$B$51+'Cálculos Eurocode'!$B$52),T92)</f>
        <v>258.5</v>
      </c>
      <c r="U93" s="100">
        <f t="shared" si="9"/>
        <v>0</v>
      </c>
      <c r="V93" s="2">
        <f>R93+'Cálculos NBR9062 2017'!$B$86*S93/'Cálculos NBR9062 2017'!$B$36</f>
        <v>0</v>
      </c>
      <c r="W93" s="104">
        <f t="shared" si="7"/>
        <v>0</v>
      </c>
    </row>
    <row r="94" spans="1:23" x14ac:dyDescent="0.25">
      <c r="A94" s="1">
        <v>83</v>
      </c>
      <c r="D94" s="65">
        <f>IF(MOD(A94,5)=0,D93+('Cálculos NBR9062 2017'!$B$45+'Cálculos NBR9062 2017'!$B$44),D93)</f>
        <v>258.5</v>
      </c>
      <c r="E94" s="2">
        <f t="shared" si="8"/>
        <v>0</v>
      </c>
      <c r="F94" s="2">
        <f>B94+'Cálculos NBR9062 2017'!$B$86*C94/'Cálculos NBR9062 2017'!$B$36</f>
        <v>0</v>
      </c>
      <c r="G94" s="104">
        <f t="shared" si="6"/>
        <v>0</v>
      </c>
      <c r="Q94" s="1">
        <v>83</v>
      </c>
      <c r="T94" s="65">
        <f>IF(MOD(Q94,5)=0,T93+('Cálculos Eurocode'!$B$51+'Cálculos Eurocode'!$B$52),T93)</f>
        <v>258.5</v>
      </c>
      <c r="U94" s="100">
        <f t="shared" si="9"/>
        <v>0</v>
      </c>
      <c r="V94" s="2">
        <f>R94+'Cálculos NBR9062 2017'!$B$86*S94/'Cálculos NBR9062 2017'!$B$36</f>
        <v>0</v>
      </c>
      <c r="W94" s="104">
        <f t="shared" si="7"/>
        <v>0</v>
      </c>
    </row>
    <row r="95" spans="1:23" x14ac:dyDescent="0.25">
      <c r="A95" s="1">
        <v>84</v>
      </c>
      <c r="D95" s="65">
        <f>IF(MOD(A95,5)=0,D94+('Cálculos NBR9062 2017'!$B$45+'Cálculos NBR9062 2017'!$B$44),D94)</f>
        <v>258.5</v>
      </c>
      <c r="E95" s="2">
        <f t="shared" si="8"/>
        <v>0</v>
      </c>
      <c r="F95" s="2">
        <f>B95+'Cálculos NBR9062 2017'!$B$86*C95/'Cálculos NBR9062 2017'!$B$36</f>
        <v>0</v>
      </c>
      <c r="G95" s="104">
        <f t="shared" si="6"/>
        <v>0</v>
      </c>
      <c r="Q95" s="1">
        <v>84</v>
      </c>
      <c r="T95" s="65">
        <f>IF(MOD(Q95,5)=0,T94+('Cálculos Eurocode'!$B$51+'Cálculos Eurocode'!$B$52),T94)</f>
        <v>258.5</v>
      </c>
      <c r="U95" s="100">
        <f t="shared" si="9"/>
        <v>0</v>
      </c>
      <c r="V95" s="2">
        <f>R95+'Cálculos NBR9062 2017'!$B$86*S95/'Cálculos NBR9062 2017'!$B$36</f>
        <v>0</v>
      </c>
      <c r="W95" s="104">
        <f t="shared" si="7"/>
        <v>0</v>
      </c>
    </row>
    <row r="96" spans="1:23" x14ac:dyDescent="0.25">
      <c r="A96" s="1">
        <v>85</v>
      </c>
      <c r="D96" s="65">
        <f>IF(MOD(A96,5)=0,D95+('Cálculos NBR9062 2017'!$B$45+'Cálculos NBR9062 2017'!$B$44),D95)</f>
        <v>274.5</v>
      </c>
      <c r="E96" s="2">
        <f t="shared" si="8"/>
        <v>0</v>
      </c>
      <c r="F96" s="2">
        <f>B96+'Cálculos NBR9062 2017'!$B$86*C96/'Cálculos NBR9062 2017'!$B$36</f>
        <v>0</v>
      </c>
      <c r="G96" s="104">
        <f t="shared" si="6"/>
        <v>0</v>
      </c>
      <c r="Q96" s="1">
        <v>85</v>
      </c>
      <c r="T96" s="65">
        <f>IF(MOD(Q96,5)=0,T95+('Cálculos Eurocode'!$B$51+'Cálculos Eurocode'!$B$52),T95)</f>
        <v>274.5</v>
      </c>
      <c r="U96" s="100">
        <f t="shared" si="9"/>
        <v>0</v>
      </c>
      <c r="V96" s="2">
        <f>R96+'Cálculos NBR9062 2017'!$B$86*S96/'Cálculos NBR9062 2017'!$B$36</f>
        <v>0</v>
      </c>
      <c r="W96" s="104">
        <f t="shared" si="7"/>
        <v>0</v>
      </c>
    </row>
    <row r="97" spans="1:23" x14ac:dyDescent="0.25">
      <c r="A97" s="1">
        <v>86</v>
      </c>
      <c r="D97" s="65">
        <f>IF(MOD(A97,5)=0,D96+('Cálculos NBR9062 2017'!$B$45+'Cálculos NBR9062 2017'!$B$44),D96)</f>
        <v>274.5</v>
      </c>
      <c r="E97" s="2">
        <f t="shared" si="8"/>
        <v>0</v>
      </c>
      <c r="F97" s="2">
        <f>B97+'Cálculos NBR9062 2017'!$B$86*C97/'Cálculos NBR9062 2017'!$B$36</f>
        <v>0</v>
      </c>
      <c r="G97" s="104">
        <f t="shared" si="6"/>
        <v>0</v>
      </c>
      <c r="Q97" s="1">
        <v>86</v>
      </c>
      <c r="T97" s="65">
        <f>IF(MOD(Q97,5)=0,T96+('Cálculos Eurocode'!$B$51+'Cálculos Eurocode'!$B$52),T96)</f>
        <v>274.5</v>
      </c>
      <c r="U97" s="100">
        <f t="shared" si="9"/>
        <v>0</v>
      </c>
      <c r="V97" s="2">
        <f>R97+'Cálculos NBR9062 2017'!$B$86*S97/'Cálculos NBR9062 2017'!$B$36</f>
        <v>0</v>
      </c>
      <c r="W97" s="104">
        <f t="shared" si="7"/>
        <v>0</v>
      </c>
    </row>
    <row r="98" spans="1:23" x14ac:dyDescent="0.25">
      <c r="A98" s="83">
        <v>87</v>
      </c>
      <c r="D98" s="65">
        <f>IF(MOD(A98,5)=0,D97+('Cálculos NBR9062 2017'!$B$45+'Cálculos NBR9062 2017'!$B$44),D97)</f>
        <v>274.5</v>
      </c>
      <c r="E98" s="2">
        <f t="shared" si="8"/>
        <v>0</v>
      </c>
      <c r="F98" s="2">
        <f>B98+'Cálculos NBR9062 2017'!$B$86*C98/'Cálculos NBR9062 2017'!$B$36</f>
        <v>0</v>
      </c>
      <c r="G98" s="104">
        <f t="shared" si="6"/>
        <v>0</v>
      </c>
      <c r="Q98" s="83">
        <v>87</v>
      </c>
      <c r="T98" s="65">
        <f>IF(MOD(Q98,5)=0,T97+('Cálculos Eurocode'!$B$51+'Cálculos Eurocode'!$B$52),T97)</f>
        <v>274.5</v>
      </c>
      <c r="U98" s="100">
        <f t="shared" si="9"/>
        <v>0</v>
      </c>
      <c r="V98" s="2">
        <f>R98+'Cálculos NBR9062 2017'!$B$86*S98/'Cálculos NBR9062 2017'!$B$36</f>
        <v>0</v>
      </c>
      <c r="W98" s="104">
        <f t="shared" si="7"/>
        <v>0</v>
      </c>
    </row>
    <row r="99" spans="1:23" x14ac:dyDescent="0.25">
      <c r="A99" s="83">
        <v>88</v>
      </c>
      <c r="D99" s="65">
        <f>IF(MOD(A99,5)=0,D98+('Cálculos NBR9062 2017'!$B$45+'Cálculos NBR9062 2017'!$B$44),D98)</f>
        <v>274.5</v>
      </c>
      <c r="E99" s="2">
        <f t="shared" si="8"/>
        <v>0</v>
      </c>
      <c r="F99" s="2">
        <f>B99+'Cálculos NBR9062 2017'!$B$86*C99/'Cálculos NBR9062 2017'!$B$36</f>
        <v>0</v>
      </c>
      <c r="G99" s="104">
        <f t="shared" si="6"/>
        <v>0</v>
      </c>
      <c r="Q99" s="83">
        <v>88</v>
      </c>
      <c r="T99" s="65">
        <f>IF(MOD(Q99,5)=0,T98+('Cálculos Eurocode'!$B$51+'Cálculos Eurocode'!$B$52),T98)</f>
        <v>274.5</v>
      </c>
      <c r="U99" s="100">
        <f t="shared" si="9"/>
        <v>0</v>
      </c>
      <c r="V99" s="2">
        <f>R99+'Cálculos NBR9062 2017'!$B$86*S99/'Cálculos NBR9062 2017'!$B$36</f>
        <v>0</v>
      </c>
      <c r="W99" s="104">
        <f t="shared" si="7"/>
        <v>0</v>
      </c>
    </row>
    <row r="100" spans="1:23" x14ac:dyDescent="0.25">
      <c r="A100" s="83">
        <v>89</v>
      </c>
      <c r="D100" s="65">
        <f>IF(MOD(A100,5)=0,D99+('Cálculos NBR9062 2017'!$B$45+'Cálculos NBR9062 2017'!$B$44),D99)</f>
        <v>274.5</v>
      </c>
      <c r="E100" s="2">
        <f t="shared" si="8"/>
        <v>0</v>
      </c>
      <c r="F100" s="2">
        <f>B100+'Cálculos NBR9062 2017'!$B$86*C100/'Cálculos NBR9062 2017'!$B$36</f>
        <v>0</v>
      </c>
      <c r="G100" s="104">
        <f t="shared" si="6"/>
        <v>0</v>
      </c>
      <c r="Q100" s="83">
        <v>89</v>
      </c>
      <c r="T100" s="65">
        <f>IF(MOD(Q100,5)=0,T99+('Cálculos Eurocode'!$B$51+'Cálculos Eurocode'!$B$52),T99)</f>
        <v>274.5</v>
      </c>
      <c r="U100" s="100">
        <f t="shared" si="9"/>
        <v>0</v>
      </c>
      <c r="V100" s="2">
        <f>R100+'Cálculos NBR9062 2017'!$B$86*S100/'Cálculos NBR9062 2017'!$B$36</f>
        <v>0</v>
      </c>
      <c r="W100" s="104">
        <f t="shared" si="7"/>
        <v>0</v>
      </c>
    </row>
    <row r="101" spans="1:23" x14ac:dyDescent="0.25">
      <c r="A101" s="83">
        <v>90</v>
      </c>
      <c r="D101" s="65">
        <f>IF(MOD(A101,5)=0,D100+('Cálculos NBR9062 2017'!$B$45+'Cálculos NBR9062 2017'!$B$44),D100)</f>
        <v>290.5</v>
      </c>
      <c r="E101" s="2">
        <f t="shared" si="8"/>
        <v>0</v>
      </c>
      <c r="F101" s="2">
        <f>B101+'Cálculos NBR9062 2017'!$B$86*C101/'Cálculos NBR9062 2017'!$B$36</f>
        <v>0</v>
      </c>
      <c r="G101" s="104">
        <f t="shared" si="6"/>
        <v>0</v>
      </c>
      <c r="Q101" s="83">
        <v>90</v>
      </c>
      <c r="T101" s="65">
        <f>IF(MOD(Q101,5)=0,T100+('Cálculos Eurocode'!$B$51+'Cálculos Eurocode'!$B$52),T100)</f>
        <v>290.5</v>
      </c>
      <c r="U101" s="100">
        <f t="shared" si="9"/>
        <v>0</v>
      </c>
      <c r="V101" s="2">
        <f>R101+'Cálculos NBR9062 2017'!$B$86*S101/'Cálculos NBR9062 2017'!$B$36</f>
        <v>0</v>
      </c>
      <c r="W101" s="104">
        <f t="shared" si="7"/>
        <v>0</v>
      </c>
    </row>
    <row r="102" spans="1:23" x14ac:dyDescent="0.25">
      <c r="A102" s="1">
        <v>91</v>
      </c>
      <c r="D102" s="65">
        <f>IF(MOD(A102,5)=0,D101+('Cálculos NBR9062 2017'!$B$45+'Cálculos NBR9062 2017'!$B$44),D101)</f>
        <v>290.5</v>
      </c>
      <c r="E102" s="2">
        <f t="shared" si="8"/>
        <v>0</v>
      </c>
      <c r="F102" s="2">
        <f>B102+'Cálculos NBR9062 2017'!$B$86*C102/'Cálculos NBR9062 2017'!$B$36</f>
        <v>0</v>
      </c>
      <c r="G102" s="104">
        <f t="shared" si="6"/>
        <v>0</v>
      </c>
      <c r="Q102" s="1">
        <v>91</v>
      </c>
      <c r="T102" s="65">
        <f>IF(MOD(Q102,5)=0,T101+('Cálculos Eurocode'!$B$51+'Cálculos Eurocode'!$B$52),T101)</f>
        <v>290.5</v>
      </c>
      <c r="U102" s="100">
        <f t="shared" si="9"/>
        <v>0</v>
      </c>
      <c r="V102" s="2">
        <f>R102+'Cálculos NBR9062 2017'!$B$86*S102/'Cálculos NBR9062 2017'!$B$36</f>
        <v>0</v>
      </c>
      <c r="W102" s="104">
        <f t="shared" si="7"/>
        <v>0</v>
      </c>
    </row>
    <row r="103" spans="1:23" x14ac:dyDescent="0.25">
      <c r="A103" s="1">
        <v>92</v>
      </c>
      <c r="D103" s="65">
        <f>IF(MOD(A103,5)=0,D102+('Cálculos NBR9062 2017'!$B$45+'Cálculos NBR9062 2017'!$B$44),D102)</f>
        <v>290.5</v>
      </c>
      <c r="E103" s="2">
        <f t="shared" si="8"/>
        <v>0</v>
      </c>
      <c r="F103" s="2">
        <f>B103+'Cálculos NBR9062 2017'!$B$86*C103/'Cálculos NBR9062 2017'!$B$36</f>
        <v>0</v>
      </c>
      <c r="G103" s="104">
        <f t="shared" si="6"/>
        <v>0</v>
      </c>
      <c r="Q103" s="1">
        <v>92</v>
      </c>
      <c r="T103" s="65">
        <f>IF(MOD(Q103,5)=0,T102+('Cálculos Eurocode'!$B$51+'Cálculos Eurocode'!$B$52),T102)</f>
        <v>290.5</v>
      </c>
      <c r="U103" s="100">
        <f t="shared" si="9"/>
        <v>0</v>
      </c>
      <c r="V103" s="2">
        <f>R103+'Cálculos NBR9062 2017'!$B$86*S103/'Cálculos NBR9062 2017'!$B$36</f>
        <v>0</v>
      </c>
      <c r="W103" s="104">
        <f t="shared" si="7"/>
        <v>0</v>
      </c>
    </row>
    <row r="104" spans="1:23" x14ac:dyDescent="0.25">
      <c r="A104" s="1">
        <v>93</v>
      </c>
      <c r="D104" s="65">
        <f>IF(MOD(A104,5)=0,D103+('Cálculos NBR9062 2017'!$B$45+'Cálculos NBR9062 2017'!$B$44),D103)</f>
        <v>290.5</v>
      </c>
      <c r="E104" s="2">
        <f t="shared" si="8"/>
        <v>0</v>
      </c>
      <c r="F104" s="2">
        <f>B104+'Cálculos NBR9062 2017'!$B$86*C104/'Cálculos NBR9062 2017'!$B$36</f>
        <v>0</v>
      </c>
      <c r="G104" s="104">
        <f t="shared" si="6"/>
        <v>0</v>
      </c>
      <c r="Q104" s="1">
        <v>93</v>
      </c>
      <c r="T104" s="65">
        <f>IF(MOD(Q104,5)=0,T103+('Cálculos Eurocode'!$B$51+'Cálculos Eurocode'!$B$52),T103)</f>
        <v>290.5</v>
      </c>
      <c r="U104" s="100">
        <f t="shared" si="9"/>
        <v>0</v>
      </c>
      <c r="V104" s="2">
        <f>R104+'Cálculos NBR9062 2017'!$B$86*S104/'Cálculos NBR9062 2017'!$B$36</f>
        <v>0</v>
      </c>
      <c r="W104" s="104">
        <f t="shared" si="7"/>
        <v>0</v>
      </c>
    </row>
    <row r="105" spans="1:23" x14ac:dyDescent="0.25">
      <c r="A105" s="1">
        <v>94</v>
      </c>
      <c r="D105" s="65">
        <f>IF(MOD(A105,5)=0,D104+('Cálculos NBR9062 2017'!$B$45+'Cálculos NBR9062 2017'!$B$44),D104)</f>
        <v>290.5</v>
      </c>
      <c r="E105" s="2">
        <f t="shared" si="8"/>
        <v>0</v>
      </c>
      <c r="F105" s="2">
        <f>B105+'Cálculos NBR9062 2017'!$B$86*C105/'Cálculos NBR9062 2017'!$B$36</f>
        <v>0</v>
      </c>
      <c r="G105" s="104">
        <f t="shared" si="6"/>
        <v>0</v>
      </c>
      <c r="Q105" s="1">
        <v>94</v>
      </c>
      <c r="T105" s="65">
        <f>IF(MOD(Q105,5)=0,T104+('Cálculos Eurocode'!$B$51+'Cálculos Eurocode'!$B$52),T104)</f>
        <v>290.5</v>
      </c>
      <c r="U105" s="100">
        <f t="shared" si="9"/>
        <v>0</v>
      </c>
      <c r="V105" s="2">
        <f>R105+'Cálculos NBR9062 2017'!$B$86*S105/'Cálculos NBR9062 2017'!$B$36</f>
        <v>0</v>
      </c>
      <c r="W105" s="104">
        <f t="shared" si="7"/>
        <v>0</v>
      </c>
    </row>
    <row r="106" spans="1:23" x14ac:dyDescent="0.25">
      <c r="A106" s="1">
        <v>95</v>
      </c>
      <c r="D106" s="65">
        <f>IF(MOD(A106,5)=0,D105+('Cálculos NBR9062 2017'!$B$45+'Cálculos NBR9062 2017'!$B$44),D105)</f>
        <v>306.5</v>
      </c>
      <c r="E106" s="2">
        <f t="shared" si="8"/>
        <v>0</v>
      </c>
      <c r="F106" s="2">
        <f>B106+'Cálculos NBR9062 2017'!$B$86*C106/'Cálculos NBR9062 2017'!$B$36</f>
        <v>0</v>
      </c>
      <c r="G106" s="104">
        <f t="shared" si="6"/>
        <v>0</v>
      </c>
      <c r="Q106" s="1">
        <v>95</v>
      </c>
      <c r="T106" s="65">
        <f>IF(MOD(Q106,5)=0,T105+('Cálculos Eurocode'!$B$51+'Cálculos Eurocode'!$B$52),T105)</f>
        <v>306.5</v>
      </c>
      <c r="U106" s="100">
        <f t="shared" si="9"/>
        <v>0</v>
      </c>
      <c r="V106" s="2">
        <f>R106+'Cálculos NBR9062 2017'!$B$86*S106/'Cálculos NBR9062 2017'!$B$36</f>
        <v>0</v>
      </c>
      <c r="W106" s="104">
        <f t="shared" si="7"/>
        <v>0</v>
      </c>
    </row>
    <row r="107" spans="1:23" x14ac:dyDescent="0.25">
      <c r="A107" s="1">
        <v>96</v>
      </c>
      <c r="D107" s="65">
        <f>IF(MOD(A107,5)=0,D106+('Cálculos NBR9062 2017'!$B$45+'Cálculos NBR9062 2017'!$B$44),D106)</f>
        <v>306.5</v>
      </c>
      <c r="E107" s="2">
        <f t="shared" si="8"/>
        <v>0</v>
      </c>
      <c r="F107" s="2">
        <f>B107+'Cálculos NBR9062 2017'!$B$86*C107/'Cálculos NBR9062 2017'!$B$36</f>
        <v>0</v>
      </c>
      <c r="G107" s="104">
        <f t="shared" si="6"/>
        <v>0</v>
      </c>
      <c r="Q107" s="1">
        <v>96</v>
      </c>
      <c r="T107" s="65">
        <f>IF(MOD(Q107,5)=0,T106+('Cálculos Eurocode'!$B$51+'Cálculos Eurocode'!$B$52),T106)</f>
        <v>306.5</v>
      </c>
      <c r="U107" s="100">
        <f t="shared" si="9"/>
        <v>0</v>
      </c>
      <c r="V107" s="2">
        <f>R107+'Cálculos NBR9062 2017'!$B$86*S107/'Cálculos NBR9062 2017'!$B$36</f>
        <v>0</v>
      </c>
      <c r="W107" s="104">
        <f t="shared" si="7"/>
        <v>0</v>
      </c>
    </row>
    <row r="108" spans="1:23" x14ac:dyDescent="0.25">
      <c r="A108" s="83">
        <v>97</v>
      </c>
      <c r="D108" s="65">
        <f>IF(MOD(A108,5)=0,D107+('Cálculos NBR9062 2017'!$B$45+'Cálculos NBR9062 2017'!$B$44),D107)</f>
        <v>306.5</v>
      </c>
      <c r="E108" s="2">
        <f t="shared" si="8"/>
        <v>0</v>
      </c>
      <c r="F108" s="2">
        <f>B108+'Cálculos NBR9062 2017'!$B$86*C108/'Cálculos NBR9062 2017'!$B$36</f>
        <v>0</v>
      </c>
      <c r="G108" s="104">
        <f t="shared" si="6"/>
        <v>0</v>
      </c>
      <c r="Q108" s="83">
        <v>97</v>
      </c>
      <c r="T108" s="65">
        <f>IF(MOD(Q108,5)=0,T107+('Cálculos Eurocode'!$B$51+'Cálculos Eurocode'!$B$52),T107)</f>
        <v>306.5</v>
      </c>
      <c r="U108" s="100">
        <f t="shared" si="9"/>
        <v>0</v>
      </c>
      <c r="V108" s="2">
        <f>R108+'Cálculos NBR9062 2017'!$B$86*S108/'Cálculos NBR9062 2017'!$B$36</f>
        <v>0</v>
      </c>
      <c r="W108" s="104">
        <f t="shared" si="7"/>
        <v>0</v>
      </c>
    </row>
    <row r="109" spans="1:23" x14ac:dyDescent="0.25">
      <c r="A109" s="83">
        <v>98</v>
      </c>
      <c r="D109" s="65">
        <f>IF(MOD(A109,5)=0,D108+('Cálculos NBR9062 2017'!$B$45+'Cálculos NBR9062 2017'!$B$44),D108)</f>
        <v>306.5</v>
      </c>
      <c r="E109" s="2">
        <f t="shared" si="8"/>
        <v>0</v>
      </c>
      <c r="F109" s="2">
        <f>B109+'Cálculos NBR9062 2017'!$B$86*C109/'Cálculos NBR9062 2017'!$B$36</f>
        <v>0</v>
      </c>
      <c r="G109" s="104">
        <f t="shared" si="6"/>
        <v>0</v>
      </c>
      <c r="Q109" s="83">
        <v>98</v>
      </c>
      <c r="T109" s="65">
        <f>IF(MOD(Q109,5)=0,T108+('Cálculos Eurocode'!$B$51+'Cálculos Eurocode'!$B$52),T108)</f>
        <v>306.5</v>
      </c>
      <c r="U109" s="100">
        <f t="shared" si="9"/>
        <v>0</v>
      </c>
      <c r="V109" s="2">
        <f>R109+'Cálculos NBR9062 2017'!$B$86*S109/'Cálculos NBR9062 2017'!$B$36</f>
        <v>0</v>
      </c>
      <c r="W109" s="104">
        <f t="shared" si="7"/>
        <v>0</v>
      </c>
    </row>
    <row r="110" spans="1:23" x14ac:dyDescent="0.25">
      <c r="A110" s="83">
        <v>99</v>
      </c>
      <c r="D110" s="65">
        <f>IF(MOD(A110,5)=0,D109+('Cálculos NBR9062 2017'!$B$45+'Cálculos NBR9062 2017'!$B$44),D109)</f>
        <v>306.5</v>
      </c>
      <c r="E110" s="2">
        <f t="shared" si="8"/>
        <v>0</v>
      </c>
      <c r="F110" s="2">
        <f>B110+'Cálculos NBR9062 2017'!$B$86*C110/'Cálculos NBR9062 2017'!$B$36</f>
        <v>0</v>
      </c>
      <c r="G110" s="104">
        <f t="shared" si="6"/>
        <v>0</v>
      </c>
      <c r="Q110" s="83">
        <v>99</v>
      </c>
      <c r="T110" s="65">
        <f>IF(MOD(Q110,5)=0,T109+('Cálculos Eurocode'!$B$51+'Cálculos Eurocode'!$B$52),T109)</f>
        <v>306.5</v>
      </c>
      <c r="U110" s="100">
        <f t="shared" si="9"/>
        <v>0</v>
      </c>
      <c r="V110" s="2">
        <f>R110+'Cálculos NBR9062 2017'!$B$86*S110/'Cálculos NBR9062 2017'!$B$36</f>
        <v>0</v>
      </c>
      <c r="W110" s="104">
        <f t="shared" si="7"/>
        <v>0</v>
      </c>
    </row>
    <row r="111" spans="1:23" x14ac:dyDescent="0.25">
      <c r="A111" s="83">
        <v>100</v>
      </c>
      <c r="D111" s="65">
        <f>IF(MOD(A111,5)=0,D110+('Cálculos NBR9062 2017'!$B$45+'Cálculos NBR9062 2017'!$B$44),D110)</f>
        <v>322.5</v>
      </c>
      <c r="E111" s="2">
        <f t="shared" si="8"/>
        <v>0</v>
      </c>
      <c r="F111" s="2">
        <f>B111+'Cálculos NBR9062 2017'!$B$86*C111/'Cálculos NBR9062 2017'!$B$36</f>
        <v>0</v>
      </c>
      <c r="G111" s="104">
        <f t="shared" si="6"/>
        <v>0</v>
      </c>
      <c r="Q111" s="83">
        <v>100</v>
      </c>
      <c r="T111" s="65">
        <f>IF(MOD(Q111,5)=0,T110+('Cálculos Eurocode'!$B$51+'Cálculos Eurocode'!$B$52),T110)</f>
        <v>322.5</v>
      </c>
      <c r="U111" s="100">
        <f t="shared" si="9"/>
        <v>0</v>
      </c>
      <c r="V111" s="2">
        <f>R111+'Cálculos NBR9062 2017'!$B$86*S111/'Cálculos NBR9062 2017'!$B$36</f>
        <v>0</v>
      </c>
      <c r="W111" s="104">
        <f t="shared" si="7"/>
        <v>0</v>
      </c>
    </row>
    <row r="112" spans="1:23" x14ac:dyDescent="0.25">
      <c r="A112" s="1">
        <v>101</v>
      </c>
      <c r="D112" s="65">
        <f>IF(MOD(A112,5)=0,D111+('Cálculos NBR9062 2017'!$B$45+'Cálculos NBR9062 2017'!$B$44),D111)</f>
        <v>322.5</v>
      </c>
      <c r="E112" s="2">
        <f t="shared" si="8"/>
        <v>0</v>
      </c>
      <c r="F112" s="2">
        <f>B112+'Cálculos NBR9062 2017'!$B$86*C112/'Cálculos NBR9062 2017'!$B$36</f>
        <v>0</v>
      </c>
      <c r="G112" s="104">
        <f t="shared" si="6"/>
        <v>0</v>
      </c>
      <c r="Q112" s="1">
        <v>101</v>
      </c>
      <c r="T112" s="65">
        <f>IF(MOD(Q112,5)=0,T111+('Cálculos Eurocode'!$B$51+'Cálculos Eurocode'!$B$52),T111)</f>
        <v>322.5</v>
      </c>
      <c r="U112" s="100">
        <f t="shared" si="9"/>
        <v>0</v>
      </c>
      <c r="V112" s="2">
        <f>R112+'Cálculos NBR9062 2017'!$B$86*S112/'Cálculos NBR9062 2017'!$B$36</f>
        <v>0</v>
      </c>
      <c r="W112" s="104">
        <f t="shared" si="7"/>
        <v>0</v>
      </c>
    </row>
    <row r="113" spans="1:23" x14ac:dyDescent="0.25">
      <c r="A113" s="1">
        <v>102</v>
      </c>
      <c r="D113" s="65">
        <f>IF(MOD(A113,5)=0,D112+('Cálculos NBR9062 2017'!$B$45+'Cálculos NBR9062 2017'!$B$44),D112)</f>
        <v>322.5</v>
      </c>
      <c r="E113" s="2">
        <f t="shared" si="8"/>
        <v>0</v>
      </c>
      <c r="F113" s="2">
        <f>B113+'Cálculos NBR9062 2017'!$B$86*C113/'Cálculos NBR9062 2017'!$B$36</f>
        <v>0</v>
      </c>
      <c r="G113" s="104">
        <f t="shared" si="6"/>
        <v>0</v>
      </c>
      <c r="Q113" s="1">
        <v>102</v>
      </c>
      <c r="T113" s="65">
        <f>IF(MOD(Q113,5)=0,T112+('Cálculos Eurocode'!$B$51+'Cálculos Eurocode'!$B$52),T112)</f>
        <v>322.5</v>
      </c>
      <c r="U113" s="100">
        <f t="shared" si="9"/>
        <v>0</v>
      </c>
      <c r="V113" s="2">
        <f>R113+'Cálculos NBR9062 2017'!$B$86*S113/'Cálculos NBR9062 2017'!$B$36</f>
        <v>0</v>
      </c>
      <c r="W113" s="104">
        <f t="shared" si="7"/>
        <v>0</v>
      </c>
    </row>
    <row r="114" spans="1:23" x14ac:dyDescent="0.25">
      <c r="A114" s="1">
        <v>103</v>
      </c>
      <c r="D114" s="65">
        <f>IF(MOD(A114,5)=0,D113+('Cálculos NBR9062 2017'!$B$45+'Cálculos NBR9062 2017'!$B$44),D113)</f>
        <v>322.5</v>
      </c>
      <c r="E114" s="2">
        <f t="shared" si="8"/>
        <v>0</v>
      </c>
      <c r="F114" s="2">
        <f>B114+'Cálculos NBR9062 2017'!$B$86*C114/'Cálculos NBR9062 2017'!$B$36</f>
        <v>0</v>
      </c>
      <c r="G114" s="104">
        <f t="shared" si="6"/>
        <v>0</v>
      </c>
      <c r="Q114" s="1">
        <v>103</v>
      </c>
      <c r="T114" s="65">
        <f>IF(MOD(Q114,5)=0,T113+('Cálculos Eurocode'!$B$51+'Cálculos Eurocode'!$B$52),T113)</f>
        <v>322.5</v>
      </c>
      <c r="U114" s="100">
        <f t="shared" si="9"/>
        <v>0</v>
      </c>
      <c r="V114" s="2">
        <f>R114+'Cálculos NBR9062 2017'!$B$86*S114/'Cálculos NBR9062 2017'!$B$36</f>
        <v>0</v>
      </c>
      <c r="W114" s="104">
        <f t="shared" si="7"/>
        <v>0</v>
      </c>
    </row>
    <row r="115" spans="1:23" x14ac:dyDescent="0.25">
      <c r="A115" s="1">
        <v>104</v>
      </c>
      <c r="D115" s="65">
        <f>IF(MOD(A115,5)=0,D114+('Cálculos NBR9062 2017'!$B$45+'Cálculos NBR9062 2017'!$B$44),D114)</f>
        <v>322.5</v>
      </c>
      <c r="E115" s="2">
        <f t="shared" si="8"/>
        <v>0</v>
      </c>
      <c r="F115" s="2">
        <f>B115+'Cálculos NBR9062 2017'!$B$86*C115/'Cálculos NBR9062 2017'!$B$36</f>
        <v>0</v>
      </c>
      <c r="G115" s="104">
        <f t="shared" si="6"/>
        <v>0</v>
      </c>
      <c r="Q115" s="1">
        <v>104</v>
      </c>
      <c r="T115" s="65">
        <f>IF(MOD(Q115,5)=0,T114+('Cálculos Eurocode'!$B$51+'Cálculos Eurocode'!$B$52),T114)</f>
        <v>322.5</v>
      </c>
      <c r="U115" s="100">
        <f t="shared" si="9"/>
        <v>0</v>
      </c>
      <c r="V115" s="2">
        <f>R115+'Cálculos NBR9062 2017'!$B$86*S115/'Cálculos NBR9062 2017'!$B$36</f>
        <v>0</v>
      </c>
      <c r="W115" s="104">
        <f t="shared" si="7"/>
        <v>0</v>
      </c>
    </row>
    <row r="116" spans="1:23" x14ac:dyDescent="0.25">
      <c r="A116" s="1">
        <v>105</v>
      </c>
      <c r="D116" s="65">
        <f>IF(MOD(A116,5)=0,D115+('Cálculos NBR9062 2017'!$B$45+'Cálculos NBR9062 2017'!$B$44),D115)</f>
        <v>338.5</v>
      </c>
      <c r="E116" s="2">
        <f t="shared" si="8"/>
        <v>0</v>
      </c>
      <c r="F116" s="2">
        <f>B116+'Cálculos NBR9062 2017'!$B$86*C116/'Cálculos NBR9062 2017'!$B$36</f>
        <v>0</v>
      </c>
      <c r="G116" s="104">
        <f t="shared" si="6"/>
        <v>0</v>
      </c>
      <c r="Q116" s="1">
        <v>105</v>
      </c>
      <c r="T116" s="65">
        <f>IF(MOD(Q116,5)=0,T115+('Cálculos Eurocode'!$B$51+'Cálculos Eurocode'!$B$52),T115)</f>
        <v>338.5</v>
      </c>
      <c r="U116" s="100">
        <f t="shared" si="9"/>
        <v>0</v>
      </c>
      <c r="V116" s="2">
        <f>R116+'Cálculos NBR9062 2017'!$B$86*S116/'Cálculos NBR9062 2017'!$B$36</f>
        <v>0</v>
      </c>
      <c r="W116" s="104">
        <f t="shared" si="7"/>
        <v>0</v>
      </c>
    </row>
    <row r="117" spans="1:23" x14ac:dyDescent="0.25">
      <c r="A117" s="1">
        <v>106</v>
      </c>
      <c r="D117" s="65">
        <f>IF(MOD(A117,5)=0,D116+('Cálculos NBR9062 2017'!$B$45+'Cálculos NBR9062 2017'!$B$44),D116)</f>
        <v>338.5</v>
      </c>
      <c r="E117" s="2">
        <f t="shared" si="8"/>
        <v>0</v>
      </c>
      <c r="F117" s="2">
        <f>B117+'Cálculos NBR9062 2017'!$B$86*C117/'Cálculos NBR9062 2017'!$B$36</f>
        <v>0</v>
      </c>
      <c r="G117" s="104">
        <f t="shared" si="6"/>
        <v>0</v>
      </c>
      <c r="Q117" s="1">
        <v>106</v>
      </c>
      <c r="T117" s="65">
        <f>IF(MOD(Q117,5)=0,T116+('Cálculos Eurocode'!$B$51+'Cálculos Eurocode'!$B$52),T116)</f>
        <v>338.5</v>
      </c>
      <c r="U117" s="100">
        <f t="shared" si="9"/>
        <v>0</v>
      </c>
      <c r="V117" s="2">
        <f>R117+'Cálculos NBR9062 2017'!$B$86*S117/'Cálculos NBR9062 2017'!$B$36</f>
        <v>0</v>
      </c>
      <c r="W117" s="104">
        <f t="shared" si="7"/>
        <v>0</v>
      </c>
    </row>
    <row r="118" spans="1:23" x14ac:dyDescent="0.25">
      <c r="A118" s="83">
        <v>107</v>
      </c>
      <c r="D118" s="65">
        <f>IF(MOD(A118,5)=0,D117+('Cálculos NBR9062 2017'!$B$45+'Cálculos NBR9062 2017'!$B$44),D117)</f>
        <v>338.5</v>
      </c>
      <c r="E118" s="2">
        <f t="shared" si="8"/>
        <v>0</v>
      </c>
      <c r="F118" s="2">
        <f>B118+'Cálculos NBR9062 2017'!$B$86*C118/'Cálculos NBR9062 2017'!$B$36</f>
        <v>0</v>
      </c>
      <c r="G118" s="104">
        <f t="shared" si="6"/>
        <v>0</v>
      </c>
      <c r="Q118" s="83">
        <v>107</v>
      </c>
      <c r="T118" s="65">
        <f>IF(MOD(Q118,5)=0,T117+('Cálculos Eurocode'!$B$51+'Cálculos Eurocode'!$B$52),T117)</f>
        <v>338.5</v>
      </c>
      <c r="U118" s="100">
        <f t="shared" si="9"/>
        <v>0</v>
      </c>
      <c r="V118" s="2">
        <f>R118+'Cálculos NBR9062 2017'!$B$86*S118/'Cálculos NBR9062 2017'!$B$36</f>
        <v>0</v>
      </c>
      <c r="W118" s="104">
        <f t="shared" si="7"/>
        <v>0</v>
      </c>
    </row>
    <row r="119" spans="1:23" x14ac:dyDescent="0.25">
      <c r="A119" s="83">
        <v>108</v>
      </c>
      <c r="D119" s="65">
        <f>IF(MOD(A119,5)=0,D118+('Cálculos NBR9062 2017'!$B$45+'Cálculos NBR9062 2017'!$B$44),D118)</f>
        <v>338.5</v>
      </c>
      <c r="E119" s="2">
        <f t="shared" si="8"/>
        <v>0</v>
      </c>
      <c r="F119" s="2">
        <f>B119+'Cálculos NBR9062 2017'!$B$86*C119/'Cálculos NBR9062 2017'!$B$36</f>
        <v>0</v>
      </c>
      <c r="G119" s="104">
        <f t="shared" si="6"/>
        <v>0</v>
      </c>
      <c r="Q119" s="83">
        <v>108</v>
      </c>
      <c r="T119" s="65">
        <f>IF(MOD(Q119,5)=0,T118+('Cálculos Eurocode'!$B$51+'Cálculos Eurocode'!$B$52),T118)</f>
        <v>338.5</v>
      </c>
      <c r="U119" s="100">
        <f t="shared" si="9"/>
        <v>0</v>
      </c>
      <c r="V119" s="2">
        <f>R119+'Cálculos NBR9062 2017'!$B$86*S119/'Cálculos NBR9062 2017'!$B$36</f>
        <v>0</v>
      </c>
      <c r="W119" s="104">
        <f t="shared" si="7"/>
        <v>0</v>
      </c>
    </row>
    <row r="120" spans="1:23" x14ac:dyDescent="0.25">
      <c r="A120" s="83">
        <v>109</v>
      </c>
      <c r="D120" s="65">
        <f>IF(MOD(A120,5)=0,D119+('Cálculos NBR9062 2017'!$B$45+'Cálculos NBR9062 2017'!$B$44),D119)</f>
        <v>338.5</v>
      </c>
      <c r="E120" s="2">
        <f t="shared" si="8"/>
        <v>0</v>
      </c>
      <c r="F120" s="2">
        <f>B120+'Cálculos NBR9062 2017'!$B$86*C120/'Cálculos NBR9062 2017'!$B$36</f>
        <v>0</v>
      </c>
      <c r="G120" s="104">
        <f t="shared" si="6"/>
        <v>0</v>
      </c>
      <c r="Q120" s="83">
        <v>109</v>
      </c>
      <c r="T120" s="65">
        <f>IF(MOD(Q120,5)=0,T119+('Cálculos Eurocode'!$B$51+'Cálculos Eurocode'!$B$52),T119)</f>
        <v>338.5</v>
      </c>
      <c r="U120" s="100">
        <f t="shared" si="9"/>
        <v>0</v>
      </c>
      <c r="V120" s="2">
        <f>R120+'Cálculos NBR9062 2017'!$B$86*S120/'Cálculos NBR9062 2017'!$B$36</f>
        <v>0</v>
      </c>
      <c r="W120" s="104">
        <f t="shared" si="7"/>
        <v>0</v>
      </c>
    </row>
    <row r="121" spans="1:23" x14ac:dyDescent="0.25">
      <c r="A121" s="83">
        <v>110</v>
      </c>
      <c r="D121" s="65">
        <f>IF(MOD(A121,5)=0,D120+('Cálculos NBR9062 2017'!$B$45+'Cálculos NBR9062 2017'!$B$44),D120)</f>
        <v>354.5</v>
      </c>
      <c r="E121" s="2">
        <f t="shared" si="8"/>
        <v>0</v>
      </c>
      <c r="F121" s="2">
        <f>B121+'Cálculos NBR9062 2017'!$B$86*C121/'Cálculos NBR9062 2017'!$B$36</f>
        <v>0</v>
      </c>
      <c r="G121" s="104">
        <f t="shared" si="6"/>
        <v>0</v>
      </c>
      <c r="Q121" s="83">
        <v>110</v>
      </c>
      <c r="T121" s="65">
        <f>IF(MOD(Q121,5)=0,T120+('Cálculos Eurocode'!$B$51+'Cálculos Eurocode'!$B$52),T120)</f>
        <v>354.5</v>
      </c>
      <c r="U121" s="100">
        <f t="shared" si="9"/>
        <v>0</v>
      </c>
      <c r="V121" s="2">
        <f>R121+'Cálculos NBR9062 2017'!$B$86*S121/'Cálculos NBR9062 2017'!$B$36</f>
        <v>0</v>
      </c>
      <c r="W121" s="104">
        <f t="shared" si="7"/>
        <v>0</v>
      </c>
    </row>
    <row r="122" spans="1:23" x14ac:dyDescent="0.25">
      <c r="A122" s="1">
        <v>111</v>
      </c>
      <c r="D122" s="65">
        <f>IF(MOD(A122,5)=0,D121+('Cálculos NBR9062 2017'!$B$45+'Cálculos NBR9062 2017'!$B$44),D121)</f>
        <v>354.5</v>
      </c>
      <c r="E122" s="2">
        <f t="shared" si="8"/>
        <v>0</v>
      </c>
      <c r="F122" s="2">
        <f>B122+'Cálculos NBR9062 2017'!$B$86*C122/'Cálculos NBR9062 2017'!$B$36</f>
        <v>0</v>
      </c>
      <c r="G122" s="104">
        <f t="shared" si="6"/>
        <v>0</v>
      </c>
      <c r="Q122" s="1">
        <v>111</v>
      </c>
      <c r="T122" s="65">
        <f>IF(MOD(Q122,5)=0,T121+('Cálculos Eurocode'!$B$51+'Cálculos Eurocode'!$B$52),T121)</f>
        <v>354.5</v>
      </c>
      <c r="U122" s="100">
        <f t="shared" si="9"/>
        <v>0</v>
      </c>
      <c r="V122" s="2">
        <f>R122+'Cálculos NBR9062 2017'!$B$86*S122/'Cálculos NBR9062 2017'!$B$36</f>
        <v>0</v>
      </c>
      <c r="W122" s="104">
        <f t="shared" si="7"/>
        <v>0</v>
      </c>
    </row>
    <row r="123" spans="1:23" x14ac:dyDescent="0.25">
      <c r="A123" s="1">
        <v>112</v>
      </c>
      <c r="D123" s="65">
        <f>IF(MOD(A123,5)=0,D122+('Cálculos NBR9062 2017'!$B$45+'Cálculos NBR9062 2017'!$B$44),D122)</f>
        <v>354.5</v>
      </c>
      <c r="E123" s="2">
        <f t="shared" si="8"/>
        <v>0</v>
      </c>
      <c r="F123" s="2">
        <f>B123+'Cálculos NBR9062 2017'!$B$86*C123/'Cálculos NBR9062 2017'!$B$36</f>
        <v>0</v>
      </c>
      <c r="G123" s="104">
        <f t="shared" si="6"/>
        <v>0</v>
      </c>
      <c r="Q123" s="1">
        <v>112</v>
      </c>
      <c r="T123" s="65">
        <f>IF(MOD(Q123,5)=0,T122+('Cálculos Eurocode'!$B$51+'Cálculos Eurocode'!$B$52),T122)</f>
        <v>354.5</v>
      </c>
      <c r="U123" s="100">
        <f t="shared" si="9"/>
        <v>0</v>
      </c>
      <c r="V123" s="2">
        <f>R123+'Cálculos NBR9062 2017'!$B$86*S123/'Cálculos NBR9062 2017'!$B$36</f>
        <v>0</v>
      </c>
      <c r="W123" s="104">
        <f t="shared" si="7"/>
        <v>0</v>
      </c>
    </row>
    <row r="124" spans="1:23" x14ac:dyDescent="0.25">
      <c r="A124" s="1">
        <v>113</v>
      </c>
      <c r="D124" s="65">
        <f>IF(MOD(A124,5)=0,D123+('Cálculos NBR9062 2017'!$B$45+'Cálculos NBR9062 2017'!$B$44),D123)</f>
        <v>354.5</v>
      </c>
      <c r="E124" s="2">
        <f t="shared" si="8"/>
        <v>0</v>
      </c>
      <c r="F124" s="2">
        <f>B124+'Cálculos NBR9062 2017'!$B$86*C124/'Cálculos NBR9062 2017'!$B$36</f>
        <v>0</v>
      </c>
      <c r="G124" s="104">
        <f t="shared" si="6"/>
        <v>0</v>
      </c>
      <c r="Q124" s="1">
        <v>113</v>
      </c>
      <c r="T124" s="65">
        <f>IF(MOD(Q124,5)=0,T123+('Cálculos Eurocode'!$B$51+'Cálculos Eurocode'!$B$52),T123)</f>
        <v>354.5</v>
      </c>
      <c r="U124" s="100">
        <f t="shared" si="9"/>
        <v>0</v>
      </c>
      <c r="V124" s="2">
        <f>R124+'Cálculos NBR9062 2017'!$B$86*S124/'Cálculos NBR9062 2017'!$B$36</f>
        <v>0</v>
      </c>
      <c r="W124" s="104">
        <f t="shared" si="7"/>
        <v>0</v>
      </c>
    </row>
    <row r="125" spans="1:23" x14ac:dyDescent="0.25">
      <c r="A125" s="1">
        <v>114</v>
      </c>
      <c r="D125" s="65">
        <f>IF(MOD(A125,5)=0,D124+('Cálculos NBR9062 2017'!$B$45+'Cálculos NBR9062 2017'!$B$44),D124)</f>
        <v>354.5</v>
      </c>
      <c r="E125" s="2">
        <f t="shared" si="8"/>
        <v>0</v>
      </c>
      <c r="F125" s="2">
        <f>B125+'Cálculos NBR9062 2017'!$B$86*C125/'Cálculos NBR9062 2017'!$B$36</f>
        <v>0</v>
      </c>
      <c r="G125" s="104">
        <f t="shared" si="6"/>
        <v>0</v>
      </c>
      <c r="Q125" s="1">
        <v>114</v>
      </c>
      <c r="T125" s="65">
        <f>IF(MOD(Q125,5)=0,T124+('Cálculos Eurocode'!$B$51+'Cálculos Eurocode'!$B$52),T124)</f>
        <v>354.5</v>
      </c>
      <c r="U125" s="100">
        <f t="shared" si="9"/>
        <v>0</v>
      </c>
      <c r="V125" s="2">
        <f>R125+'Cálculos NBR9062 2017'!$B$86*S125/'Cálculos NBR9062 2017'!$B$36</f>
        <v>0</v>
      </c>
      <c r="W125" s="104">
        <f t="shared" si="7"/>
        <v>0</v>
      </c>
    </row>
    <row r="126" spans="1:23" x14ac:dyDescent="0.25">
      <c r="A126" s="1">
        <v>115</v>
      </c>
      <c r="D126" s="65">
        <f>IF(MOD(A126,5)=0,D125+('Cálculos NBR9062 2017'!$B$45+'Cálculos NBR9062 2017'!$B$44),D125)</f>
        <v>370.5</v>
      </c>
      <c r="E126" s="2">
        <f t="shared" si="8"/>
        <v>0</v>
      </c>
      <c r="F126" s="2">
        <f>B126+'Cálculos NBR9062 2017'!$B$86*C126/'Cálculos NBR9062 2017'!$B$36</f>
        <v>0</v>
      </c>
      <c r="G126" s="104">
        <f t="shared" si="6"/>
        <v>0</v>
      </c>
      <c r="Q126" s="1">
        <v>115</v>
      </c>
      <c r="T126" s="65">
        <f>IF(MOD(Q126,5)=0,T125+('Cálculos Eurocode'!$B$51+'Cálculos Eurocode'!$B$52),T125)</f>
        <v>370.5</v>
      </c>
      <c r="U126" s="100">
        <f t="shared" si="9"/>
        <v>0</v>
      </c>
      <c r="V126" s="2">
        <f>R126+'Cálculos NBR9062 2017'!$B$86*S126/'Cálculos NBR9062 2017'!$B$36</f>
        <v>0</v>
      </c>
      <c r="W126" s="104">
        <f t="shared" si="7"/>
        <v>0</v>
      </c>
    </row>
    <row r="127" spans="1:23" x14ac:dyDescent="0.25">
      <c r="A127" s="1">
        <v>116</v>
      </c>
      <c r="D127" s="65">
        <f>IF(MOD(A127,5)=0,D126+('Cálculos NBR9062 2017'!$B$45+'Cálculos NBR9062 2017'!$B$44),D126)</f>
        <v>370.5</v>
      </c>
      <c r="E127" s="2">
        <f t="shared" si="8"/>
        <v>0</v>
      </c>
      <c r="F127" s="2">
        <f>B127+'Cálculos NBR9062 2017'!$B$86*C127/'Cálculos NBR9062 2017'!$B$36</f>
        <v>0</v>
      </c>
      <c r="G127" s="104">
        <f t="shared" si="6"/>
        <v>0</v>
      </c>
      <c r="Q127" s="1">
        <v>116</v>
      </c>
      <c r="T127" s="65">
        <f>IF(MOD(Q127,5)=0,T126+('Cálculos Eurocode'!$B$51+'Cálculos Eurocode'!$B$52),T126)</f>
        <v>370.5</v>
      </c>
      <c r="U127" s="100">
        <f t="shared" si="9"/>
        <v>0</v>
      </c>
      <c r="V127" s="2">
        <f>R127+'Cálculos NBR9062 2017'!$B$86*S127/'Cálculos NBR9062 2017'!$B$36</f>
        <v>0</v>
      </c>
      <c r="W127" s="104">
        <f t="shared" si="7"/>
        <v>0</v>
      </c>
    </row>
    <row r="128" spans="1:23" x14ac:dyDescent="0.25">
      <c r="A128" s="83">
        <v>117</v>
      </c>
      <c r="D128" s="65">
        <f>IF(MOD(A128,5)=0,D127+('Cálculos NBR9062 2017'!$B$45+'Cálculos NBR9062 2017'!$B$44),D127)</f>
        <v>370.5</v>
      </c>
      <c r="E128" s="2">
        <f t="shared" si="8"/>
        <v>0</v>
      </c>
      <c r="F128" s="2">
        <f>B128+'Cálculos NBR9062 2017'!$B$86*C128/'Cálculos NBR9062 2017'!$B$36</f>
        <v>0</v>
      </c>
      <c r="G128" s="104">
        <f t="shared" si="6"/>
        <v>0</v>
      </c>
      <c r="Q128" s="83">
        <v>117</v>
      </c>
      <c r="T128" s="65">
        <f>IF(MOD(Q128,5)=0,T127+('Cálculos Eurocode'!$B$51+'Cálculos Eurocode'!$B$52),T127)</f>
        <v>370.5</v>
      </c>
      <c r="U128" s="100">
        <f t="shared" si="9"/>
        <v>0</v>
      </c>
      <c r="V128" s="2">
        <f>R128+'Cálculos NBR9062 2017'!$B$86*S128/'Cálculos NBR9062 2017'!$B$36</f>
        <v>0</v>
      </c>
      <c r="W128" s="104">
        <f t="shared" si="7"/>
        <v>0</v>
      </c>
    </row>
    <row r="129" spans="1:23" x14ac:dyDescent="0.25">
      <c r="A129" s="83">
        <v>118</v>
      </c>
      <c r="D129" s="65">
        <f>IF(MOD(A129,5)=0,D128+('Cálculos NBR9062 2017'!$B$45+'Cálculos NBR9062 2017'!$B$44),D128)</f>
        <v>370.5</v>
      </c>
      <c r="E129" s="2">
        <f t="shared" si="8"/>
        <v>0</v>
      </c>
      <c r="F129" s="2">
        <f>B129+'Cálculos NBR9062 2017'!$B$86*C129/'Cálculos NBR9062 2017'!$B$36</f>
        <v>0</v>
      </c>
      <c r="G129" s="104">
        <f t="shared" si="6"/>
        <v>0</v>
      </c>
      <c r="Q129" s="83">
        <v>118</v>
      </c>
      <c r="T129" s="65">
        <f>IF(MOD(Q129,5)=0,T128+('Cálculos Eurocode'!$B$51+'Cálculos Eurocode'!$B$52),T128)</f>
        <v>370.5</v>
      </c>
      <c r="U129" s="100">
        <f t="shared" si="9"/>
        <v>0</v>
      </c>
      <c r="V129" s="2">
        <f>R129+'Cálculos NBR9062 2017'!$B$86*S129/'Cálculos NBR9062 2017'!$B$36</f>
        <v>0</v>
      </c>
      <c r="W129" s="104">
        <f t="shared" si="7"/>
        <v>0</v>
      </c>
    </row>
    <row r="130" spans="1:23" x14ac:dyDescent="0.25">
      <c r="A130" s="83">
        <v>119</v>
      </c>
      <c r="D130" s="65">
        <f>IF(MOD(A130,5)=0,D129+('Cálculos NBR9062 2017'!$B$45+'Cálculos NBR9062 2017'!$B$44),D129)</f>
        <v>370.5</v>
      </c>
      <c r="E130" s="2">
        <f t="shared" si="8"/>
        <v>0</v>
      </c>
      <c r="F130" s="2">
        <f>B130+'Cálculos NBR9062 2017'!$B$86*C130/'Cálculos NBR9062 2017'!$B$36</f>
        <v>0</v>
      </c>
      <c r="G130" s="104">
        <f t="shared" si="6"/>
        <v>0</v>
      </c>
      <c r="Q130" s="83">
        <v>119</v>
      </c>
      <c r="T130" s="65">
        <f>IF(MOD(Q130,5)=0,T129+('Cálculos Eurocode'!$B$51+'Cálculos Eurocode'!$B$52),T129)</f>
        <v>370.5</v>
      </c>
      <c r="U130" s="100">
        <f t="shared" si="9"/>
        <v>0</v>
      </c>
      <c r="V130" s="2">
        <f>R130+'Cálculos NBR9062 2017'!$B$86*S130/'Cálculos NBR9062 2017'!$B$36</f>
        <v>0</v>
      </c>
      <c r="W130" s="104">
        <f t="shared" si="7"/>
        <v>0</v>
      </c>
    </row>
    <row r="131" spans="1:23" x14ac:dyDescent="0.25">
      <c r="A131" s="83">
        <v>120</v>
      </c>
      <c r="D131" s="65">
        <f>IF(MOD(A131,5)=0,D130+('Cálculos NBR9062 2017'!$B$45+'Cálculos NBR9062 2017'!$B$44),D130)</f>
        <v>386.5</v>
      </c>
      <c r="E131" s="2">
        <f t="shared" si="8"/>
        <v>0</v>
      </c>
      <c r="F131" s="2">
        <f>B131+'Cálculos NBR9062 2017'!$B$86*C131/'Cálculos NBR9062 2017'!$B$36</f>
        <v>0</v>
      </c>
      <c r="G131" s="104">
        <f t="shared" si="6"/>
        <v>0</v>
      </c>
      <c r="Q131" s="83">
        <v>120</v>
      </c>
      <c r="T131" s="65">
        <f>IF(MOD(Q131,5)=0,T130+('Cálculos Eurocode'!$B$51+'Cálculos Eurocode'!$B$52),T130)</f>
        <v>386.5</v>
      </c>
      <c r="U131" s="100">
        <f t="shared" si="9"/>
        <v>0</v>
      </c>
      <c r="V131" s="2">
        <f>R131+'Cálculos NBR9062 2017'!$B$86*S131/'Cálculos NBR9062 2017'!$B$36</f>
        <v>0</v>
      </c>
      <c r="W131" s="104">
        <f t="shared" si="7"/>
        <v>0</v>
      </c>
    </row>
    <row r="132" spans="1:23" x14ac:dyDescent="0.25">
      <c r="A132" s="1">
        <v>121</v>
      </c>
      <c r="D132" s="65">
        <f>IF(MOD(A132,5)=0,D131+('Cálculos NBR9062 2017'!$B$45+'Cálculos NBR9062 2017'!$B$44),D131)</f>
        <v>386.5</v>
      </c>
      <c r="E132" s="2">
        <f t="shared" si="8"/>
        <v>0</v>
      </c>
      <c r="F132" s="2">
        <f>B132+'Cálculos NBR9062 2017'!$B$86*C132/'Cálculos NBR9062 2017'!$B$36</f>
        <v>0</v>
      </c>
      <c r="G132" s="104">
        <f t="shared" si="6"/>
        <v>0</v>
      </c>
      <c r="Q132" s="1">
        <v>121</v>
      </c>
      <c r="T132" s="65">
        <f>IF(MOD(Q132,5)=0,T131+('Cálculos Eurocode'!$B$51+'Cálculos Eurocode'!$B$52),T131)</f>
        <v>386.5</v>
      </c>
      <c r="U132" s="100">
        <f t="shared" si="9"/>
        <v>0</v>
      </c>
      <c r="V132" s="2">
        <f>R132+'Cálculos NBR9062 2017'!$B$86*S132/'Cálculos NBR9062 2017'!$B$36</f>
        <v>0</v>
      </c>
      <c r="W132" s="104">
        <f t="shared" si="7"/>
        <v>0</v>
      </c>
    </row>
    <row r="133" spans="1:23" x14ac:dyDescent="0.25">
      <c r="A133" s="1">
        <v>122</v>
      </c>
      <c r="D133" s="65">
        <f>IF(MOD(A133,5)=0,D132+('Cálculos NBR9062 2017'!$B$45+'Cálculos NBR9062 2017'!$B$44),D132)</f>
        <v>386.5</v>
      </c>
      <c r="E133" s="2">
        <f t="shared" si="8"/>
        <v>0</v>
      </c>
      <c r="F133" s="2">
        <f>B133+'Cálculos NBR9062 2017'!$B$86*C133/'Cálculos NBR9062 2017'!$B$36</f>
        <v>0</v>
      </c>
      <c r="G133" s="104">
        <f t="shared" si="6"/>
        <v>0</v>
      </c>
      <c r="Q133" s="1">
        <v>122</v>
      </c>
      <c r="T133" s="65">
        <f>IF(MOD(Q133,5)=0,T132+('Cálculos Eurocode'!$B$51+'Cálculos Eurocode'!$B$52),T132)</f>
        <v>386.5</v>
      </c>
      <c r="U133" s="100">
        <f t="shared" si="9"/>
        <v>0</v>
      </c>
      <c r="V133" s="2">
        <f>R133+'Cálculos NBR9062 2017'!$B$86*S133/'Cálculos NBR9062 2017'!$B$36</f>
        <v>0</v>
      </c>
      <c r="W133" s="104">
        <f t="shared" si="7"/>
        <v>0</v>
      </c>
    </row>
    <row r="134" spans="1:23" x14ac:dyDescent="0.25">
      <c r="A134" s="1">
        <v>123</v>
      </c>
      <c r="D134" s="65">
        <f>IF(MOD(A134,5)=0,D133+('Cálculos NBR9062 2017'!$B$45+'Cálculos NBR9062 2017'!$B$44),D133)</f>
        <v>386.5</v>
      </c>
      <c r="E134" s="2">
        <f t="shared" si="8"/>
        <v>0</v>
      </c>
      <c r="F134" s="2">
        <f>B134+'Cálculos NBR9062 2017'!$B$86*C134/'Cálculos NBR9062 2017'!$B$36</f>
        <v>0</v>
      </c>
      <c r="G134" s="104">
        <f t="shared" si="6"/>
        <v>0</v>
      </c>
      <c r="Q134" s="1">
        <v>123</v>
      </c>
      <c r="T134" s="65">
        <f>IF(MOD(Q134,5)=0,T133+('Cálculos Eurocode'!$B$51+'Cálculos Eurocode'!$B$52),T133)</f>
        <v>386.5</v>
      </c>
      <c r="U134" s="100">
        <f t="shared" si="9"/>
        <v>0</v>
      </c>
      <c r="V134" s="2">
        <f>R134+'Cálculos NBR9062 2017'!$B$86*S134/'Cálculos NBR9062 2017'!$B$36</f>
        <v>0</v>
      </c>
      <c r="W134" s="104">
        <f t="shared" si="7"/>
        <v>0</v>
      </c>
    </row>
    <row r="135" spans="1:23" x14ac:dyDescent="0.25">
      <c r="A135" s="1">
        <v>124</v>
      </c>
      <c r="D135" s="65">
        <f>IF(MOD(A135,5)=0,D134+('Cálculos NBR9062 2017'!$B$45+'Cálculos NBR9062 2017'!$B$44),D134)</f>
        <v>386.5</v>
      </c>
      <c r="E135" s="2">
        <f t="shared" si="8"/>
        <v>0</v>
      </c>
      <c r="F135" s="2">
        <f>B135+'Cálculos NBR9062 2017'!$B$86*C135/'Cálculos NBR9062 2017'!$B$36</f>
        <v>0</v>
      </c>
      <c r="G135" s="104">
        <f t="shared" si="6"/>
        <v>0</v>
      </c>
      <c r="Q135" s="1">
        <v>124</v>
      </c>
      <c r="T135" s="65">
        <f>IF(MOD(Q135,5)=0,T134+('Cálculos Eurocode'!$B$51+'Cálculos Eurocode'!$B$52),T134)</f>
        <v>386.5</v>
      </c>
      <c r="U135" s="100">
        <f t="shared" si="9"/>
        <v>0</v>
      </c>
      <c r="V135" s="2">
        <f>R135+'Cálculos NBR9062 2017'!$B$86*S135/'Cálculos NBR9062 2017'!$B$36</f>
        <v>0</v>
      </c>
      <c r="W135" s="104">
        <f t="shared" si="7"/>
        <v>0</v>
      </c>
    </row>
    <row r="136" spans="1:23" x14ac:dyDescent="0.25">
      <c r="A136" s="1">
        <v>125</v>
      </c>
      <c r="D136" s="65">
        <f>IF(MOD(A136,5)=0,D135+('Cálculos NBR9062 2017'!$B$45+'Cálculos NBR9062 2017'!$B$44),D135)</f>
        <v>402.5</v>
      </c>
      <c r="E136" s="2">
        <f t="shared" si="8"/>
        <v>0</v>
      </c>
      <c r="F136" s="2">
        <f>B136+'Cálculos NBR9062 2017'!$B$86*C136/'Cálculos NBR9062 2017'!$B$36</f>
        <v>0</v>
      </c>
      <c r="G136" s="104">
        <f t="shared" si="6"/>
        <v>0</v>
      </c>
      <c r="Q136" s="1">
        <v>125</v>
      </c>
      <c r="T136" s="65">
        <f>IF(MOD(Q136,5)=0,T135+('Cálculos Eurocode'!$B$51+'Cálculos Eurocode'!$B$52),T135)</f>
        <v>402.5</v>
      </c>
      <c r="U136" s="100">
        <f t="shared" si="9"/>
        <v>0</v>
      </c>
      <c r="V136" s="2">
        <f>R136+'Cálculos NBR9062 2017'!$B$86*S136/'Cálculos NBR9062 2017'!$B$36</f>
        <v>0</v>
      </c>
      <c r="W136" s="104">
        <f t="shared" si="7"/>
        <v>0</v>
      </c>
    </row>
    <row r="137" spans="1:23" x14ac:dyDescent="0.25">
      <c r="A137" s="1">
        <v>126</v>
      </c>
      <c r="D137" s="65">
        <f>IF(MOD(A137,5)=0,D136+('Cálculos NBR9062 2017'!$B$45+'Cálculos NBR9062 2017'!$B$44),D136)</f>
        <v>402.5</v>
      </c>
      <c r="E137" s="2">
        <f t="shared" si="8"/>
        <v>0</v>
      </c>
      <c r="F137" s="2">
        <f>B137+'Cálculos NBR9062 2017'!$B$86*C137/'Cálculos NBR9062 2017'!$B$36</f>
        <v>0</v>
      </c>
      <c r="G137" s="104">
        <f t="shared" si="6"/>
        <v>0</v>
      </c>
      <c r="Q137" s="1">
        <v>126</v>
      </c>
      <c r="T137" s="65">
        <f>IF(MOD(Q137,5)=0,T136+('Cálculos Eurocode'!$B$51+'Cálculos Eurocode'!$B$52),T136)</f>
        <v>402.5</v>
      </c>
      <c r="U137" s="100">
        <f t="shared" si="9"/>
        <v>0</v>
      </c>
      <c r="V137" s="2">
        <f>R137+'Cálculos NBR9062 2017'!$B$86*S137/'Cálculos NBR9062 2017'!$B$36</f>
        <v>0</v>
      </c>
      <c r="W137" s="104">
        <f t="shared" si="7"/>
        <v>0</v>
      </c>
    </row>
    <row r="138" spans="1:23" x14ac:dyDescent="0.25">
      <c r="A138" s="83">
        <v>127</v>
      </c>
      <c r="D138" s="65">
        <f>IF(MOD(A138,5)=0,D137+('Cálculos NBR9062 2017'!$B$45+'Cálculos NBR9062 2017'!$B$44),D137)</f>
        <v>402.5</v>
      </c>
      <c r="E138" s="2">
        <f t="shared" si="8"/>
        <v>0</v>
      </c>
      <c r="F138" s="2">
        <f>B138+'Cálculos NBR9062 2017'!$B$86*C138/'Cálculos NBR9062 2017'!$B$36</f>
        <v>0</v>
      </c>
      <c r="G138" s="104">
        <f t="shared" si="6"/>
        <v>0</v>
      </c>
      <c r="Q138" s="83">
        <v>127</v>
      </c>
      <c r="T138" s="65">
        <f>IF(MOD(Q138,5)=0,T137+('Cálculos Eurocode'!$B$51+'Cálculos Eurocode'!$B$52),T137)</f>
        <v>402.5</v>
      </c>
      <c r="U138" s="100">
        <f t="shared" si="9"/>
        <v>0</v>
      </c>
      <c r="V138" s="2">
        <f>R138+'Cálculos NBR9062 2017'!$B$86*S138/'Cálculos NBR9062 2017'!$B$36</f>
        <v>0</v>
      </c>
      <c r="W138" s="104">
        <f t="shared" si="7"/>
        <v>0</v>
      </c>
    </row>
    <row r="139" spans="1:23" x14ac:dyDescent="0.25">
      <c r="A139" s="83">
        <v>128</v>
      </c>
      <c r="D139" s="65">
        <f>IF(MOD(A139,5)=0,D138+('Cálculos NBR9062 2017'!$B$45+'Cálculos NBR9062 2017'!$B$44),D138)</f>
        <v>402.5</v>
      </c>
      <c r="E139" s="2">
        <f t="shared" si="8"/>
        <v>0</v>
      </c>
      <c r="F139" s="2">
        <f>B139+'Cálculos NBR9062 2017'!$B$86*C139/'Cálculos NBR9062 2017'!$B$36</f>
        <v>0</v>
      </c>
      <c r="G139" s="104">
        <f t="shared" si="6"/>
        <v>0</v>
      </c>
      <c r="Q139" s="83">
        <v>128</v>
      </c>
      <c r="T139" s="65">
        <f>IF(MOD(Q139,5)=0,T138+('Cálculos Eurocode'!$B$51+'Cálculos Eurocode'!$B$52),T138)</f>
        <v>402.5</v>
      </c>
      <c r="U139" s="100">
        <f t="shared" si="9"/>
        <v>0</v>
      </c>
      <c r="V139" s="2">
        <f>R139+'Cálculos NBR9062 2017'!$B$86*S139/'Cálculos NBR9062 2017'!$B$36</f>
        <v>0</v>
      </c>
      <c r="W139" s="104">
        <f t="shared" si="7"/>
        <v>0</v>
      </c>
    </row>
    <row r="140" spans="1:23" x14ac:dyDescent="0.25">
      <c r="A140" s="83">
        <v>129</v>
      </c>
      <c r="D140" s="65">
        <f>IF(MOD(A140,5)=0,D139+('Cálculos NBR9062 2017'!$B$45+'Cálculos NBR9062 2017'!$B$44),D139)</f>
        <v>402.5</v>
      </c>
      <c r="E140" s="2">
        <f t="shared" si="8"/>
        <v>0</v>
      </c>
      <c r="F140" s="2">
        <f>B140+'Cálculos NBR9062 2017'!$B$86*C140/'Cálculos NBR9062 2017'!$B$36</f>
        <v>0</v>
      </c>
      <c r="G140" s="104">
        <f t="shared" si="6"/>
        <v>0</v>
      </c>
      <c r="Q140" s="83">
        <v>129</v>
      </c>
      <c r="T140" s="65">
        <f>IF(MOD(Q140,5)=0,T139+('Cálculos Eurocode'!$B$51+'Cálculos Eurocode'!$B$52),T139)</f>
        <v>402.5</v>
      </c>
      <c r="U140" s="100">
        <f t="shared" si="9"/>
        <v>0</v>
      </c>
      <c r="V140" s="2">
        <f>R140+'Cálculos NBR9062 2017'!$B$86*S140/'Cálculos NBR9062 2017'!$B$36</f>
        <v>0</v>
      </c>
      <c r="W140" s="104">
        <f t="shared" si="7"/>
        <v>0</v>
      </c>
    </row>
    <row r="141" spans="1:23" x14ac:dyDescent="0.25">
      <c r="A141" s="83">
        <v>130</v>
      </c>
      <c r="D141" s="65">
        <f>IF(MOD(A141,5)=0,D140+('Cálculos NBR9062 2017'!$B$45+'Cálculos NBR9062 2017'!$B$44),D140)</f>
        <v>418.5</v>
      </c>
      <c r="E141" s="2">
        <f t="shared" si="8"/>
        <v>0</v>
      </c>
      <c r="F141" s="2">
        <f>B141+'Cálculos NBR9062 2017'!$B$86*C141/'Cálculos NBR9062 2017'!$B$36</f>
        <v>0</v>
      </c>
      <c r="G141" s="104">
        <f t="shared" ref="G141:G204" si="10">C141</f>
        <v>0</v>
      </c>
      <c r="Q141" s="83">
        <v>130</v>
      </c>
      <c r="T141" s="65">
        <f>IF(MOD(Q141,5)=0,T140+('Cálculos Eurocode'!$B$51+'Cálculos Eurocode'!$B$52),T140)</f>
        <v>418.5</v>
      </c>
      <c r="U141" s="100">
        <f t="shared" si="9"/>
        <v>0</v>
      </c>
      <c r="V141" s="2">
        <f>R141+'Cálculos NBR9062 2017'!$B$86*S141/'Cálculos NBR9062 2017'!$B$36</f>
        <v>0</v>
      </c>
      <c r="W141" s="104">
        <f t="shared" ref="W141:W204" si="11">S141</f>
        <v>0</v>
      </c>
    </row>
    <row r="142" spans="1:23" x14ac:dyDescent="0.25">
      <c r="A142" s="1">
        <v>131</v>
      </c>
      <c r="D142" s="65">
        <f>IF(MOD(A142,5)=0,D141+('Cálculos NBR9062 2017'!$B$45+'Cálculos NBR9062 2017'!$B$44),D141)</f>
        <v>418.5</v>
      </c>
      <c r="E142" s="2">
        <f t="shared" ref="E142:E205" si="12">IF(E141=0,0,IF(MOD(A141,5)=0,IF(A141/5&gt;$E$10,0,1),1))</f>
        <v>0</v>
      </c>
      <c r="F142" s="2">
        <f>B142+'Cálculos NBR9062 2017'!$B$86*C142/'Cálculos NBR9062 2017'!$B$36</f>
        <v>0</v>
      </c>
      <c r="G142" s="104">
        <f t="shared" si="10"/>
        <v>0</v>
      </c>
      <c r="Q142" s="1">
        <v>131</v>
      </c>
      <c r="T142" s="65">
        <f>IF(MOD(Q142,5)=0,T141+('Cálculos Eurocode'!$B$51+'Cálculos Eurocode'!$B$52),T141)</f>
        <v>418.5</v>
      </c>
      <c r="U142" s="100">
        <f t="shared" ref="U142:U205" si="13">IF(U141=0,0,IF(MOD(Q141,5)=0,IF(Q141/5&gt;$U$10,0,1),1))</f>
        <v>0</v>
      </c>
      <c r="V142" s="2">
        <f>R142+'Cálculos NBR9062 2017'!$B$86*S142/'Cálculos NBR9062 2017'!$B$36</f>
        <v>0</v>
      </c>
      <c r="W142" s="104">
        <f t="shared" si="11"/>
        <v>0</v>
      </c>
    </row>
    <row r="143" spans="1:23" x14ac:dyDescent="0.25">
      <c r="A143" s="1">
        <v>132</v>
      </c>
      <c r="D143" s="65">
        <f>IF(MOD(A143,5)=0,D142+('Cálculos NBR9062 2017'!$B$45+'Cálculos NBR9062 2017'!$B$44),D142)</f>
        <v>418.5</v>
      </c>
      <c r="E143" s="2">
        <f t="shared" si="12"/>
        <v>0</v>
      </c>
      <c r="F143" s="2">
        <f>B143+'Cálculos NBR9062 2017'!$B$86*C143/'Cálculos NBR9062 2017'!$B$36</f>
        <v>0</v>
      </c>
      <c r="G143" s="104">
        <f t="shared" si="10"/>
        <v>0</v>
      </c>
      <c r="Q143" s="1">
        <v>132</v>
      </c>
      <c r="T143" s="65">
        <f>IF(MOD(Q143,5)=0,T142+('Cálculos Eurocode'!$B$51+'Cálculos Eurocode'!$B$52),T142)</f>
        <v>418.5</v>
      </c>
      <c r="U143" s="100">
        <f t="shared" si="13"/>
        <v>0</v>
      </c>
      <c r="V143" s="2">
        <f>R143+'Cálculos NBR9062 2017'!$B$86*S143/'Cálculos NBR9062 2017'!$B$36</f>
        <v>0</v>
      </c>
      <c r="W143" s="104">
        <f t="shared" si="11"/>
        <v>0</v>
      </c>
    </row>
    <row r="144" spans="1:23" x14ac:dyDescent="0.25">
      <c r="A144" s="1">
        <v>133</v>
      </c>
      <c r="D144" s="65">
        <f>IF(MOD(A144,5)=0,D143+('Cálculos NBR9062 2017'!$B$45+'Cálculos NBR9062 2017'!$B$44),D143)</f>
        <v>418.5</v>
      </c>
      <c r="E144" s="2">
        <f t="shared" si="12"/>
        <v>0</v>
      </c>
      <c r="F144" s="2">
        <f>B144+'Cálculos NBR9062 2017'!$B$86*C144/'Cálculos NBR9062 2017'!$B$36</f>
        <v>0</v>
      </c>
      <c r="G144" s="104">
        <f t="shared" si="10"/>
        <v>0</v>
      </c>
      <c r="Q144" s="1">
        <v>133</v>
      </c>
      <c r="T144" s="65">
        <f>IF(MOD(Q144,5)=0,T143+('Cálculos Eurocode'!$B$51+'Cálculos Eurocode'!$B$52),T143)</f>
        <v>418.5</v>
      </c>
      <c r="U144" s="100">
        <f t="shared" si="13"/>
        <v>0</v>
      </c>
      <c r="V144" s="2">
        <f>R144+'Cálculos NBR9062 2017'!$B$86*S144/'Cálculos NBR9062 2017'!$B$36</f>
        <v>0</v>
      </c>
      <c r="W144" s="104">
        <f t="shared" si="11"/>
        <v>0</v>
      </c>
    </row>
    <row r="145" spans="1:23" x14ac:dyDescent="0.25">
      <c r="A145" s="1">
        <v>134</v>
      </c>
      <c r="D145" s="65">
        <f>IF(MOD(A145,5)=0,D144+('Cálculos NBR9062 2017'!$B$45+'Cálculos NBR9062 2017'!$B$44),D144)</f>
        <v>418.5</v>
      </c>
      <c r="E145" s="2">
        <f t="shared" si="12"/>
        <v>0</v>
      </c>
      <c r="F145" s="2">
        <f>B145+'Cálculos NBR9062 2017'!$B$86*C145/'Cálculos NBR9062 2017'!$B$36</f>
        <v>0</v>
      </c>
      <c r="G145" s="104">
        <f t="shared" si="10"/>
        <v>0</v>
      </c>
      <c r="Q145" s="1">
        <v>134</v>
      </c>
      <c r="T145" s="65">
        <f>IF(MOD(Q145,5)=0,T144+('Cálculos Eurocode'!$B$51+'Cálculos Eurocode'!$B$52),T144)</f>
        <v>418.5</v>
      </c>
      <c r="U145" s="100">
        <f t="shared" si="13"/>
        <v>0</v>
      </c>
      <c r="V145" s="2">
        <f>R145+'Cálculos NBR9062 2017'!$B$86*S145/'Cálculos NBR9062 2017'!$B$36</f>
        <v>0</v>
      </c>
      <c r="W145" s="104">
        <f t="shared" si="11"/>
        <v>0</v>
      </c>
    </row>
    <row r="146" spans="1:23" x14ac:dyDescent="0.25">
      <c r="A146" s="1">
        <v>135</v>
      </c>
      <c r="D146" s="65">
        <f>IF(MOD(A146,5)=0,D145+('Cálculos NBR9062 2017'!$B$45+'Cálculos NBR9062 2017'!$B$44),D145)</f>
        <v>434.5</v>
      </c>
      <c r="E146" s="2">
        <f t="shared" si="12"/>
        <v>0</v>
      </c>
      <c r="F146" s="2">
        <f>B146+'Cálculos NBR9062 2017'!$B$86*C146/'Cálculos NBR9062 2017'!$B$36</f>
        <v>0</v>
      </c>
      <c r="G146" s="104">
        <f t="shared" si="10"/>
        <v>0</v>
      </c>
      <c r="Q146" s="1">
        <v>135</v>
      </c>
      <c r="T146" s="65">
        <f>IF(MOD(Q146,5)=0,T145+('Cálculos Eurocode'!$B$51+'Cálculos Eurocode'!$B$52),T145)</f>
        <v>434.5</v>
      </c>
      <c r="U146" s="100">
        <f t="shared" si="13"/>
        <v>0</v>
      </c>
      <c r="V146" s="2">
        <f>R146+'Cálculos NBR9062 2017'!$B$86*S146/'Cálculos NBR9062 2017'!$B$36</f>
        <v>0</v>
      </c>
      <c r="W146" s="104">
        <f t="shared" si="11"/>
        <v>0</v>
      </c>
    </row>
    <row r="147" spans="1:23" x14ac:dyDescent="0.25">
      <c r="A147" s="1">
        <v>136</v>
      </c>
      <c r="D147" s="65">
        <f>IF(MOD(A147,5)=0,D146+('Cálculos NBR9062 2017'!$B$45+'Cálculos NBR9062 2017'!$B$44),D146)</f>
        <v>434.5</v>
      </c>
      <c r="E147" s="2">
        <f t="shared" si="12"/>
        <v>0</v>
      </c>
      <c r="F147" s="2">
        <f>B147+'Cálculos NBR9062 2017'!$B$86*C147/'Cálculos NBR9062 2017'!$B$36</f>
        <v>0</v>
      </c>
      <c r="G147" s="104">
        <f t="shared" si="10"/>
        <v>0</v>
      </c>
      <c r="Q147" s="1">
        <v>136</v>
      </c>
      <c r="T147" s="65">
        <f>IF(MOD(Q147,5)=0,T146+('Cálculos Eurocode'!$B$51+'Cálculos Eurocode'!$B$52),T146)</f>
        <v>434.5</v>
      </c>
      <c r="U147" s="100">
        <f t="shared" si="13"/>
        <v>0</v>
      </c>
      <c r="V147" s="2">
        <f>R147+'Cálculos NBR9062 2017'!$B$86*S147/'Cálculos NBR9062 2017'!$B$36</f>
        <v>0</v>
      </c>
      <c r="W147" s="104">
        <f t="shared" si="11"/>
        <v>0</v>
      </c>
    </row>
    <row r="148" spans="1:23" x14ac:dyDescent="0.25">
      <c r="A148" s="83">
        <v>137</v>
      </c>
      <c r="D148" s="65">
        <f>IF(MOD(A148,5)=0,D147+('Cálculos NBR9062 2017'!$B$45+'Cálculos NBR9062 2017'!$B$44),D147)</f>
        <v>434.5</v>
      </c>
      <c r="E148" s="2">
        <f t="shared" si="12"/>
        <v>0</v>
      </c>
      <c r="F148" s="2">
        <f>B148+'Cálculos NBR9062 2017'!$B$86*C148/'Cálculos NBR9062 2017'!$B$36</f>
        <v>0</v>
      </c>
      <c r="G148" s="104">
        <f t="shared" si="10"/>
        <v>0</v>
      </c>
      <c r="Q148" s="83">
        <v>137</v>
      </c>
      <c r="T148" s="65">
        <f>IF(MOD(Q148,5)=0,T147+('Cálculos Eurocode'!$B$51+'Cálculos Eurocode'!$B$52),T147)</f>
        <v>434.5</v>
      </c>
      <c r="U148" s="100">
        <f t="shared" si="13"/>
        <v>0</v>
      </c>
      <c r="V148" s="2">
        <f>R148+'Cálculos NBR9062 2017'!$B$86*S148/'Cálculos NBR9062 2017'!$B$36</f>
        <v>0</v>
      </c>
      <c r="W148" s="104">
        <f t="shared" si="11"/>
        <v>0</v>
      </c>
    </row>
    <row r="149" spans="1:23" x14ac:dyDescent="0.25">
      <c r="A149" s="83">
        <v>138</v>
      </c>
      <c r="D149" s="65">
        <f>IF(MOD(A149,5)=0,D148+('Cálculos NBR9062 2017'!$B$45+'Cálculos NBR9062 2017'!$B$44),D148)</f>
        <v>434.5</v>
      </c>
      <c r="E149" s="2">
        <f t="shared" si="12"/>
        <v>0</v>
      </c>
      <c r="F149" s="2">
        <f>B149+'Cálculos NBR9062 2017'!$B$86*C149/'Cálculos NBR9062 2017'!$B$36</f>
        <v>0</v>
      </c>
      <c r="G149" s="104">
        <f t="shared" si="10"/>
        <v>0</v>
      </c>
      <c r="Q149" s="83">
        <v>138</v>
      </c>
      <c r="T149" s="65">
        <f>IF(MOD(Q149,5)=0,T148+('Cálculos Eurocode'!$B$51+'Cálculos Eurocode'!$B$52),T148)</f>
        <v>434.5</v>
      </c>
      <c r="U149" s="100">
        <f t="shared" si="13"/>
        <v>0</v>
      </c>
      <c r="V149" s="2">
        <f>R149+'Cálculos NBR9062 2017'!$B$86*S149/'Cálculos NBR9062 2017'!$B$36</f>
        <v>0</v>
      </c>
      <c r="W149" s="104">
        <f t="shared" si="11"/>
        <v>0</v>
      </c>
    </row>
    <row r="150" spans="1:23" x14ac:dyDescent="0.25">
      <c r="A150" s="83">
        <v>139</v>
      </c>
      <c r="D150" s="65">
        <f>IF(MOD(A150,5)=0,D149+('Cálculos NBR9062 2017'!$B$45+'Cálculos NBR9062 2017'!$B$44),D149)</f>
        <v>434.5</v>
      </c>
      <c r="E150" s="2">
        <f t="shared" si="12"/>
        <v>0</v>
      </c>
      <c r="F150" s="2">
        <f>B150+'Cálculos NBR9062 2017'!$B$86*C150/'Cálculos NBR9062 2017'!$B$36</f>
        <v>0</v>
      </c>
      <c r="G150" s="104">
        <f t="shared" si="10"/>
        <v>0</v>
      </c>
      <c r="Q150" s="83">
        <v>139</v>
      </c>
      <c r="T150" s="65">
        <f>IF(MOD(Q150,5)=0,T149+('Cálculos Eurocode'!$B$51+'Cálculos Eurocode'!$B$52),T149)</f>
        <v>434.5</v>
      </c>
      <c r="U150" s="100">
        <f t="shared" si="13"/>
        <v>0</v>
      </c>
      <c r="V150" s="2">
        <f>R150+'Cálculos NBR9062 2017'!$B$86*S150/'Cálculos NBR9062 2017'!$B$36</f>
        <v>0</v>
      </c>
      <c r="W150" s="104">
        <f t="shared" si="11"/>
        <v>0</v>
      </c>
    </row>
    <row r="151" spans="1:23" x14ac:dyDescent="0.25">
      <c r="A151" s="83">
        <v>140</v>
      </c>
      <c r="D151" s="65">
        <f>IF(MOD(A151,5)=0,D150+('Cálculos NBR9062 2017'!$B$45+'Cálculos NBR9062 2017'!$B$44),D150)</f>
        <v>450.5</v>
      </c>
      <c r="E151" s="2">
        <f t="shared" si="12"/>
        <v>0</v>
      </c>
      <c r="F151" s="2">
        <f>B151+'Cálculos NBR9062 2017'!$B$86*C151/'Cálculos NBR9062 2017'!$B$36</f>
        <v>0</v>
      </c>
      <c r="G151" s="104">
        <f t="shared" si="10"/>
        <v>0</v>
      </c>
      <c r="Q151" s="83">
        <v>140</v>
      </c>
      <c r="T151" s="65">
        <f>IF(MOD(Q151,5)=0,T150+('Cálculos Eurocode'!$B$51+'Cálculos Eurocode'!$B$52),T150)</f>
        <v>450.5</v>
      </c>
      <c r="U151" s="100">
        <f t="shared" si="13"/>
        <v>0</v>
      </c>
      <c r="V151" s="2">
        <f>R151+'Cálculos NBR9062 2017'!$B$86*S151/'Cálculos NBR9062 2017'!$B$36</f>
        <v>0</v>
      </c>
      <c r="W151" s="104">
        <f t="shared" si="11"/>
        <v>0</v>
      </c>
    </row>
    <row r="152" spans="1:23" x14ac:dyDescent="0.25">
      <c r="A152" s="1">
        <v>141</v>
      </c>
      <c r="D152" s="65">
        <f>IF(MOD(A152,5)=0,D151+('Cálculos NBR9062 2017'!$B$45+'Cálculos NBR9062 2017'!$B$44),D151)</f>
        <v>450.5</v>
      </c>
      <c r="E152" s="2">
        <f t="shared" si="12"/>
        <v>0</v>
      </c>
      <c r="F152" s="2">
        <f>B152+'Cálculos NBR9062 2017'!$B$86*C152/'Cálculos NBR9062 2017'!$B$36</f>
        <v>0</v>
      </c>
      <c r="G152" s="104">
        <f t="shared" si="10"/>
        <v>0</v>
      </c>
      <c r="Q152" s="1">
        <v>141</v>
      </c>
      <c r="T152" s="65">
        <f>IF(MOD(Q152,5)=0,T151+('Cálculos Eurocode'!$B$51+'Cálculos Eurocode'!$B$52),T151)</f>
        <v>450.5</v>
      </c>
      <c r="U152" s="100">
        <f t="shared" si="13"/>
        <v>0</v>
      </c>
      <c r="V152" s="2">
        <f>R152+'Cálculos NBR9062 2017'!$B$86*S152/'Cálculos NBR9062 2017'!$B$36</f>
        <v>0</v>
      </c>
      <c r="W152" s="104">
        <f t="shared" si="11"/>
        <v>0</v>
      </c>
    </row>
    <row r="153" spans="1:23" x14ac:dyDescent="0.25">
      <c r="A153" s="1">
        <v>142</v>
      </c>
      <c r="D153" s="65">
        <f>IF(MOD(A153,5)=0,D152+('Cálculos NBR9062 2017'!$B$45+'Cálculos NBR9062 2017'!$B$44),D152)</f>
        <v>450.5</v>
      </c>
      <c r="E153" s="2">
        <f t="shared" si="12"/>
        <v>0</v>
      </c>
      <c r="F153" s="2">
        <f>B153+'Cálculos NBR9062 2017'!$B$86*C153/'Cálculos NBR9062 2017'!$B$36</f>
        <v>0</v>
      </c>
      <c r="G153" s="104">
        <f t="shared" si="10"/>
        <v>0</v>
      </c>
      <c r="Q153" s="1">
        <v>142</v>
      </c>
      <c r="T153" s="65">
        <f>IF(MOD(Q153,5)=0,T152+('Cálculos Eurocode'!$B$51+'Cálculos Eurocode'!$B$52),T152)</f>
        <v>450.5</v>
      </c>
      <c r="U153" s="100">
        <f t="shared" si="13"/>
        <v>0</v>
      </c>
      <c r="V153" s="2">
        <f>R153+'Cálculos NBR9062 2017'!$B$86*S153/'Cálculos NBR9062 2017'!$B$36</f>
        <v>0</v>
      </c>
      <c r="W153" s="104">
        <f t="shared" si="11"/>
        <v>0</v>
      </c>
    </row>
    <row r="154" spans="1:23" x14ac:dyDescent="0.25">
      <c r="A154" s="1">
        <v>143</v>
      </c>
      <c r="D154" s="65">
        <f>IF(MOD(A154,5)=0,D153+('Cálculos NBR9062 2017'!$B$45+'Cálculos NBR9062 2017'!$B$44),D153)</f>
        <v>450.5</v>
      </c>
      <c r="E154" s="2">
        <f t="shared" si="12"/>
        <v>0</v>
      </c>
      <c r="F154" s="2">
        <f>B154+'Cálculos NBR9062 2017'!$B$86*C154/'Cálculos NBR9062 2017'!$B$36</f>
        <v>0</v>
      </c>
      <c r="G154" s="104">
        <f t="shared" si="10"/>
        <v>0</v>
      </c>
      <c r="Q154" s="1">
        <v>143</v>
      </c>
      <c r="T154" s="65">
        <f>IF(MOD(Q154,5)=0,T153+('Cálculos Eurocode'!$B$51+'Cálculos Eurocode'!$B$52),T153)</f>
        <v>450.5</v>
      </c>
      <c r="U154" s="100">
        <f t="shared" si="13"/>
        <v>0</v>
      </c>
      <c r="V154" s="2">
        <f>R154+'Cálculos NBR9062 2017'!$B$86*S154/'Cálculos NBR9062 2017'!$B$36</f>
        <v>0</v>
      </c>
      <c r="W154" s="104">
        <f t="shared" si="11"/>
        <v>0</v>
      </c>
    </row>
    <row r="155" spans="1:23" x14ac:dyDescent="0.25">
      <c r="A155" s="1">
        <v>144</v>
      </c>
      <c r="D155" s="65">
        <f>IF(MOD(A155,5)=0,D154+('Cálculos NBR9062 2017'!$B$45+'Cálculos NBR9062 2017'!$B$44),D154)</f>
        <v>450.5</v>
      </c>
      <c r="E155" s="2">
        <f t="shared" si="12"/>
        <v>0</v>
      </c>
      <c r="F155" s="2">
        <f>B155+'Cálculos NBR9062 2017'!$B$86*C155/'Cálculos NBR9062 2017'!$B$36</f>
        <v>0</v>
      </c>
      <c r="G155" s="104">
        <f t="shared" si="10"/>
        <v>0</v>
      </c>
      <c r="Q155" s="1">
        <v>144</v>
      </c>
      <c r="T155" s="65">
        <f>IF(MOD(Q155,5)=0,T154+('Cálculos Eurocode'!$B$51+'Cálculos Eurocode'!$B$52),T154)</f>
        <v>450.5</v>
      </c>
      <c r="U155" s="100">
        <f t="shared" si="13"/>
        <v>0</v>
      </c>
      <c r="V155" s="2">
        <f>R155+'Cálculos NBR9062 2017'!$B$86*S155/'Cálculos NBR9062 2017'!$B$36</f>
        <v>0</v>
      </c>
      <c r="W155" s="104">
        <f t="shared" si="11"/>
        <v>0</v>
      </c>
    </row>
    <row r="156" spans="1:23" x14ac:dyDescent="0.25">
      <c r="A156" s="1">
        <v>145</v>
      </c>
      <c r="D156" s="65">
        <f>IF(MOD(A156,5)=0,D155+('Cálculos NBR9062 2017'!$B$45+'Cálculos NBR9062 2017'!$B$44),D155)</f>
        <v>466.5</v>
      </c>
      <c r="E156" s="2">
        <f t="shared" si="12"/>
        <v>0</v>
      </c>
      <c r="F156" s="2">
        <f>B156+'Cálculos NBR9062 2017'!$B$86*C156/'Cálculos NBR9062 2017'!$B$36</f>
        <v>0</v>
      </c>
      <c r="G156" s="104">
        <f t="shared" si="10"/>
        <v>0</v>
      </c>
      <c r="Q156" s="1">
        <v>145</v>
      </c>
      <c r="T156" s="65">
        <f>IF(MOD(Q156,5)=0,T155+('Cálculos Eurocode'!$B$51+'Cálculos Eurocode'!$B$52),T155)</f>
        <v>466.5</v>
      </c>
      <c r="U156" s="100">
        <f t="shared" si="13"/>
        <v>0</v>
      </c>
      <c r="V156" s="2">
        <f>R156+'Cálculos NBR9062 2017'!$B$86*S156/'Cálculos NBR9062 2017'!$B$36</f>
        <v>0</v>
      </c>
      <c r="W156" s="104">
        <f t="shared" si="11"/>
        <v>0</v>
      </c>
    </row>
    <row r="157" spans="1:23" x14ac:dyDescent="0.25">
      <c r="A157" s="1">
        <v>146</v>
      </c>
      <c r="D157" s="65">
        <f>IF(MOD(A157,5)=0,D156+('Cálculos NBR9062 2017'!$B$45+'Cálculos NBR9062 2017'!$B$44),D156)</f>
        <v>466.5</v>
      </c>
      <c r="E157" s="2">
        <f t="shared" si="12"/>
        <v>0</v>
      </c>
      <c r="F157" s="2">
        <f>B157+'Cálculos NBR9062 2017'!$B$86*C157/'Cálculos NBR9062 2017'!$B$36</f>
        <v>0</v>
      </c>
      <c r="G157" s="104">
        <f t="shared" si="10"/>
        <v>0</v>
      </c>
      <c r="Q157" s="1">
        <v>146</v>
      </c>
      <c r="T157" s="65">
        <f>IF(MOD(Q157,5)=0,T156+('Cálculos Eurocode'!$B$51+'Cálculos Eurocode'!$B$52),T156)</f>
        <v>466.5</v>
      </c>
      <c r="U157" s="100">
        <f t="shared" si="13"/>
        <v>0</v>
      </c>
      <c r="V157" s="2">
        <f>R157+'Cálculos NBR9062 2017'!$B$86*S157/'Cálculos NBR9062 2017'!$B$36</f>
        <v>0</v>
      </c>
      <c r="W157" s="104">
        <f t="shared" si="11"/>
        <v>0</v>
      </c>
    </row>
    <row r="158" spans="1:23" x14ac:dyDescent="0.25">
      <c r="A158" s="83">
        <v>147</v>
      </c>
      <c r="D158" s="65">
        <f>IF(MOD(A158,5)=0,D157+('Cálculos NBR9062 2017'!$B$45+'Cálculos NBR9062 2017'!$B$44),D157)</f>
        <v>466.5</v>
      </c>
      <c r="E158" s="2">
        <f t="shared" si="12"/>
        <v>0</v>
      </c>
      <c r="F158" s="2">
        <f>B158+'Cálculos NBR9062 2017'!$B$86*C158/'Cálculos NBR9062 2017'!$B$36</f>
        <v>0</v>
      </c>
      <c r="G158" s="104">
        <f t="shared" si="10"/>
        <v>0</v>
      </c>
      <c r="Q158" s="83">
        <v>147</v>
      </c>
      <c r="T158" s="65">
        <f>IF(MOD(Q158,5)=0,T157+('Cálculos Eurocode'!$B$51+'Cálculos Eurocode'!$B$52),T157)</f>
        <v>466.5</v>
      </c>
      <c r="U158" s="100">
        <f t="shared" si="13"/>
        <v>0</v>
      </c>
      <c r="V158" s="2">
        <f>R158+'Cálculos NBR9062 2017'!$B$86*S158/'Cálculos NBR9062 2017'!$B$36</f>
        <v>0</v>
      </c>
      <c r="W158" s="104">
        <f t="shared" si="11"/>
        <v>0</v>
      </c>
    </row>
    <row r="159" spans="1:23" x14ac:dyDescent="0.25">
      <c r="A159" s="83">
        <v>148</v>
      </c>
      <c r="D159" s="65">
        <f>IF(MOD(A159,5)=0,D158+('Cálculos NBR9062 2017'!$B$45+'Cálculos NBR9062 2017'!$B$44),D158)</f>
        <v>466.5</v>
      </c>
      <c r="E159" s="2">
        <f t="shared" si="12"/>
        <v>0</v>
      </c>
      <c r="F159" s="2">
        <f>B159+'Cálculos NBR9062 2017'!$B$86*C159/'Cálculos NBR9062 2017'!$B$36</f>
        <v>0</v>
      </c>
      <c r="G159" s="104">
        <f t="shared" si="10"/>
        <v>0</v>
      </c>
      <c r="Q159" s="83">
        <v>148</v>
      </c>
      <c r="T159" s="65">
        <f>IF(MOD(Q159,5)=0,T158+('Cálculos Eurocode'!$B$51+'Cálculos Eurocode'!$B$52),T158)</f>
        <v>466.5</v>
      </c>
      <c r="U159" s="100">
        <f t="shared" si="13"/>
        <v>0</v>
      </c>
      <c r="V159" s="2">
        <f>R159+'Cálculos NBR9062 2017'!$B$86*S159/'Cálculos NBR9062 2017'!$B$36</f>
        <v>0</v>
      </c>
      <c r="W159" s="104">
        <f t="shared" si="11"/>
        <v>0</v>
      </c>
    </row>
    <row r="160" spans="1:23" x14ac:dyDescent="0.25">
      <c r="A160" s="83">
        <v>149</v>
      </c>
      <c r="D160" s="65">
        <f>IF(MOD(A160,5)=0,D159+('Cálculos NBR9062 2017'!$B$45+'Cálculos NBR9062 2017'!$B$44),D159)</f>
        <v>466.5</v>
      </c>
      <c r="E160" s="2">
        <f t="shared" si="12"/>
        <v>0</v>
      </c>
      <c r="F160" s="2">
        <f>B160+'Cálculos NBR9062 2017'!$B$86*C160/'Cálculos NBR9062 2017'!$B$36</f>
        <v>0</v>
      </c>
      <c r="G160" s="104">
        <f t="shared" si="10"/>
        <v>0</v>
      </c>
      <c r="Q160" s="83">
        <v>149</v>
      </c>
      <c r="T160" s="65">
        <f>IF(MOD(Q160,5)=0,T159+('Cálculos Eurocode'!$B$51+'Cálculos Eurocode'!$B$52),T159)</f>
        <v>466.5</v>
      </c>
      <c r="U160" s="100">
        <f t="shared" si="13"/>
        <v>0</v>
      </c>
      <c r="V160" s="2">
        <f>R160+'Cálculos NBR9062 2017'!$B$86*S160/'Cálculos NBR9062 2017'!$B$36</f>
        <v>0</v>
      </c>
      <c r="W160" s="104">
        <f t="shared" si="11"/>
        <v>0</v>
      </c>
    </row>
    <row r="161" spans="1:23" x14ac:dyDescent="0.25">
      <c r="A161" s="83">
        <v>150</v>
      </c>
      <c r="D161" s="65">
        <f>IF(MOD(A161,5)=0,D160+('Cálculos NBR9062 2017'!$B$45+'Cálculos NBR9062 2017'!$B$44),D160)</f>
        <v>482.5</v>
      </c>
      <c r="E161" s="2">
        <f t="shared" si="12"/>
        <v>0</v>
      </c>
      <c r="F161" s="2">
        <f>B161+'Cálculos NBR9062 2017'!$B$86*C161/'Cálculos NBR9062 2017'!$B$36</f>
        <v>0</v>
      </c>
      <c r="G161" s="104">
        <f t="shared" si="10"/>
        <v>0</v>
      </c>
      <c r="Q161" s="83">
        <v>150</v>
      </c>
      <c r="T161" s="65">
        <f>IF(MOD(Q161,5)=0,T160+('Cálculos Eurocode'!$B$51+'Cálculos Eurocode'!$B$52),T160)</f>
        <v>482.5</v>
      </c>
      <c r="U161" s="100">
        <f t="shared" si="13"/>
        <v>0</v>
      </c>
      <c r="V161" s="2">
        <f>R161+'Cálculos NBR9062 2017'!$B$86*S161/'Cálculos NBR9062 2017'!$B$36</f>
        <v>0</v>
      </c>
      <c r="W161" s="104">
        <f t="shared" si="11"/>
        <v>0</v>
      </c>
    </row>
    <row r="162" spans="1:23" x14ac:dyDescent="0.25">
      <c r="A162" s="1">
        <v>151</v>
      </c>
      <c r="D162" s="65">
        <f>IF(MOD(A162,5)=0,D161+('Cálculos NBR9062 2017'!$B$45+'Cálculos NBR9062 2017'!$B$44),D161)</f>
        <v>482.5</v>
      </c>
      <c r="E162" s="2">
        <f t="shared" si="12"/>
        <v>0</v>
      </c>
      <c r="F162" s="2">
        <f>B162+'Cálculos NBR9062 2017'!$B$86*C162/'Cálculos NBR9062 2017'!$B$36</f>
        <v>0</v>
      </c>
      <c r="G162" s="104">
        <f t="shared" si="10"/>
        <v>0</v>
      </c>
      <c r="Q162" s="1">
        <v>151</v>
      </c>
      <c r="T162" s="65">
        <f>IF(MOD(Q162,5)=0,T161+('Cálculos Eurocode'!$B$51+'Cálculos Eurocode'!$B$52),T161)</f>
        <v>482.5</v>
      </c>
      <c r="U162" s="100">
        <f t="shared" si="13"/>
        <v>0</v>
      </c>
      <c r="V162" s="2">
        <f>R162+'Cálculos NBR9062 2017'!$B$86*S162/'Cálculos NBR9062 2017'!$B$36</f>
        <v>0</v>
      </c>
      <c r="W162" s="104">
        <f t="shared" si="11"/>
        <v>0</v>
      </c>
    </row>
    <row r="163" spans="1:23" x14ac:dyDescent="0.25">
      <c r="A163" s="1">
        <v>152</v>
      </c>
      <c r="D163" s="65">
        <f>IF(MOD(A163,5)=0,D162+('Cálculos NBR9062 2017'!$B$45+'Cálculos NBR9062 2017'!$B$44),D162)</f>
        <v>482.5</v>
      </c>
      <c r="E163" s="2">
        <f t="shared" si="12"/>
        <v>0</v>
      </c>
      <c r="F163" s="2">
        <f>B163+'Cálculos NBR9062 2017'!$B$86*C163/'Cálculos NBR9062 2017'!$B$36</f>
        <v>0</v>
      </c>
      <c r="G163" s="104">
        <f t="shared" si="10"/>
        <v>0</v>
      </c>
      <c r="Q163" s="1">
        <v>152</v>
      </c>
      <c r="T163" s="65">
        <f>IF(MOD(Q163,5)=0,T162+('Cálculos Eurocode'!$B$51+'Cálculos Eurocode'!$B$52),T162)</f>
        <v>482.5</v>
      </c>
      <c r="U163" s="100">
        <f t="shared" si="13"/>
        <v>0</v>
      </c>
      <c r="V163" s="2">
        <f>R163+'Cálculos NBR9062 2017'!$B$86*S163/'Cálculos NBR9062 2017'!$B$36</f>
        <v>0</v>
      </c>
      <c r="W163" s="104">
        <f t="shared" si="11"/>
        <v>0</v>
      </c>
    </row>
    <row r="164" spans="1:23" x14ac:dyDescent="0.25">
      <c r="A164" s="1">
        <v>153</v>
      </c>
      <c r="D164" s="65">
        <f>IF(MOD(A164,5)=0,D163+('Cálculos NBR9062 2017'!$B$45+'Cálculos NBR9062 2017'!$B$44),D163)</f>
        <v>482.5</v>
      </c>
      <c r="E164" s="2">
        <f t="shared" si="12"/>
        <v>0</v>
      </c>
      <c r="F164" s="2">
        <f>B164+'Cálculos NBR9062 2017'!$B$86*C164/'Cálculos NBR9062 2017'!$B$36</f>
        <v>0</v>
      </c>
      <c r="G164" s="104">
        <f t="shared" si="10"/>
        <v>0</v>
      </c>
      <c r="Q164" s="1">
        <v>153</v>
      </c>
      <c r="T164" s="65">
        <f>IF(MOD(Q164,5)=0,T163+('Cálculos Eurocode'!$B$51+'Cálculos Eurocode'!$B$52),T163)</f>
        <v>482.5</v>
      </c>
      <c r="U164" s="100">
        <f t="shared" si="13"/>
        <v>0</v>
      </c>
      <c r="V164" s="2">
        <f>R164+'Cálculos NBR9062 2017'!$B$86*S164/'Cálculos NBR9062 2017'!$B$36</f>
        <v>0</v>
      </c>
      <c r="W164" s="104">
        <f t="shared" si="11"/>
        <v>0</v>
      </c>
    </row>
    <row r="165" spans="1:23" x14ac:dyDescent="0.25">
      <c r="A165" s="1">
        <v>154</v>
      </c>
      <c r="D165" s="65">
        <f>IF(MOD(A165,5)=0,D164+('Cálculos NBR9062 2017'!$B$45+'Cálculos NBR9062 2017'!$B$44),D164)</f>
        <v>482.5</v>
      </c>
      <c r="E165" s="2">
        <f t="shared" si="12"/>
        <v>0</v>
      </c>
      <c r="F165" s="2">
        <f>B165+'Cálculos NBR9062 2017'!$B$86*C165/'Cálculos NBR9062 2017'!$B$36</f>
        <v>0</v>
      </c>
      <c r="G165" s="104">
        <f t="shared" si="10"/>
        <v>0</v>
      </c>
      <c r="Q165" s="1">
        <v>154</v>
      </c>
      <c r="T165" s="65">
        <f>IF(MOD(Q165,5)=0,T164+('Cálculos Eurocode'!$B$51+'Cálculos Eurocode'!$B$52),T164)</f>
        <v>482.5</v>
      </c>
      <c r="U165" s="100">
        <f t="shared" si="13"/>
        <v>0</v>
      </c>
      <c r="V165" s="2">
        <f>R165+'Cálculos NBR9062 2017'!$B$86*S165/'Cálculos NBR9062 2017'!$B$36</f>
        <v>0</v>
      </c>
      <c r="W165" s="104">
        <f t="shared" si="11"/>
        <v>0</v>
      </c>
    </row>
    <row r="166" spans="1:23" x14ac:dyDescent="0.25">
      <c r="A166" s="1">
        <v>155</v>
      </c>
      <c r="D166" s="65">
        <f>IF(MOD(A166,5)=0,D165+('Cálculos NBR9062 2017'!$B$45+'Cálculos NBR9062 2017'!$B$44),D165)</f>
        <v>498.5</v>
      </c>
      <c r="E166" s="2">
        <f t="shared" si="12"/>
        <v>0</v>
      </c>
      <c r="F166" s="2">
        <f>B166+'Cálculos NBR9062 2017'!$B$86*C166/'Cálculos NBR9062 2017'!$B$36</f>
        <v>0</v>
      </c>
      <c r="G166" s="104">
        <f t="shared" si="10"/>
        <v>0</v>
      </c>
      <c r="Q166" s="1">
        <v>155</v>
      </c>
      <c r="T166" s="65">
        <f>IF(MOD(Q166,5)=0,T165+('Cálculos Eurocode'!$B$51+'Cálculos Eurocode'!$B$52),T165)</f>
        <v>498.5</v>
      </c>
      <c r="U166" s="100">
        <f t="shared" si="13"/>
        <v>0</v>
      </c>
      <c r="V166" s="2">
        <f>R166+'Cálculos NBR9062 2017'!$B$86*S166/'Cálculos NBR9062 2017'!$B$36</f>
        <v>0</v>
      </c>
      <c r="W166" s="104">
        <f t="shared" si="11"/>
        <v>0</v>
      </c>
    </row>
    <row r="167" spans="1:23" x14ac:dyDescent="0.25">
      <c r="A167" s="1">
        <v>156</v>
      </c>
      <c r="D167" s="65">
        <f>IF(MOD(A167,5)=0,D166+('Cálculos NBR9062 2017'!$B$45+'Cálculos NBR9062 2017'!$B$44),D166)</f>
        <v>498.5</v>
      </c>
      <c r="E167" s="2">
        <f t="shared" si="12"/>
        <v>0</v>
      </c>
      <c r="F167" s="2">
        <f>B167+'Cálculos NBR9062 2017'!$B$86*C167/'Cálculos NBR9062 2017'!$B$36</f>
        <v>0</v>
      </c>
      <c r="G167" s="104">
        <f t="shared" si="10"/>
        <v>0</v>
      </c>
      <c r="Q167" s="1">
        <v>156</v>
      </c>
      <c r="T167" s="65">
        <f>IF(MOD(Q167,5)=0,T166+('Cálculos Eurocode'!$B$51+'Cálculos Eurocode'!$B$52),T166)</f>
        <v>498.5</v>
      </c>
      <c r="U167" s="100">
        <f t="shared" si="13"/>
        <v>0</v>
      </c>
      <c r="V167" s="2">
        <f>R167+'Cálculos NBR9062 2017'!$B$86*S167/'Cálculos NBR9062 2017'!$B$36</f>
        <v>0</v>
      </c>
      <c r="W167" s="104">
        <f t="shared" si="11"/>
        <v>0</v>
      </c>
    </row>
    <row r="168" spans="1:23" x14ac:dyDescent="0.25">
      <c r="A168" s="83">
        <v>157</v>
      </c>
      <c r="D168" s="65">
        <f>IF(MOD(A168,5)=0,D167+('Cálculos NBR9062 2017'!$B$45+'Cálculos NBR9062 2017'!$B$44),D167)</f>
        <v>498.5</v>
      </c>
      <c r="E168" s="2">
        <f t="shared" si="12"/>
        <v>0</v>
      </c>
      <c r="F168" s="2">
        <f>B168+'Cálculos NBR9062 2017'!$B$86*C168/'Cálculos NBR9062 2017'!$B$36</f>
        <v>0</v>
      </c>
      <c r="G168" s="104">
        <f t="shared" si="10"/>
        <v>0</v>
      </c>
      <c r="Q168" s="83">
        <v>157</v>
      </c>
      <c r="T168" s="65">
        <f>IF(MOD(Q168,5)=0,T167+('Cálculos Eurocode'!$B$51+'Cálculos Eurocode'!$B$52),T167)</f>
        <v>498.5</v>
      </c>
      <c r="U168" s="100">
        <f t="shared" si="13"/>
        <v>0</v>
      </c>
      <c r="V168" s="2">
        <f>R168+'Cálculos NBR9062 2017'!$B$86*S168/'Cálculos NBR9062 2017'!$B$36</f>
        <v>0</v>
      </c>
      <c r="W168" s="104">
        <f t="shared" si="11"/>
        <v>0</v>
      </c>
    </row>
    <row r="169" spans="1:23" x14ac:dyDescent="0.25">
      <c r="A169" s="83">
        <v>158</v>
      </c>
      <c r="D169" s="65">
        <f>IF(MOD(A169,5)=0,D168+('Cálculos NBR9062 2017'!$B$45+'Cálculos NBR9062 2017'!$B$44),D168)</f>
        <v>498.5</v>
      </c>
      <c r="E169" s="2">
        <f t="shared" si="12"/>
        <v>0</v>
      </c>
      <c r="F169" s="2">
        <f>B169+'Cálculos NBR9062 2017'!$B$86*C169/'Cálculos NBR9062 2017'!$B$36</f>
        <v>0</v>
      </c>
      <c r="G169" s="104">
        <f t="shared" si="10"/>
        <v>0</v>
      </c>
      <c r="Q169" s="83">
        <v>158</v>
      </c>
      <c r="T169" s="65">
        <f>IF(MOD(Q169,5)=0,T168+('Cálculos Eurocode'!$B$51+'Cálculos Eurocode'!$B$52),T168)</f>
        <v>498.5</v>
      </c>
      <c r="U169" s="100">
        <f t="shared" si="13"/>
        <v>0</v>
      </c>
      <c r="V169" s="2">
        <f>R169+'Cálculos NBR9062 2017'!$B$86*S169/'Cálculos NBR9062 2017'!$B$36</f>
        <v>0</v>
      </c>
      <c r="W169" s="104">
        <f t="shared" si="11"/>
        <v>0</v>
      </c>
    </row>
    <row r="170" spans="1:23" x14ac:dyDescent="0.25">
      <c r="A170" s="83">
        <v>159</v>
      </c>
      <c r="D170" s="65">
        <f>IF(MOD(A170,5)=0,D169+('Cálculos NBR9062 2017'!$B$45+'Cálculos NBR9062 2017'!$B$44),D169)</f>
        <v>498.5</v>
      </c>
      <c r="E170" s="2">
        <f t="shared" si="12"/>
        <v>0</v>
      </c>
      <c r="F170" s="2">
        <f>B170+'Cálculos NBR9062 2017'!$B$86*C170/'Cálculos NBR9062 2017'!$B$36</f>
        <v>0</v>
      </c>
      <c r="G170" s="104">
        <f t="shared" si="10"/>
        <v>0</v>
      </c>
      <c r="Q170" s="83">
        <v>159</v>
      </c>
      <c r="T170" s="65">
        <f>IF(MOD(Q170,5)=0,T169+('Cálculos Eurocode'!$B$51+'Cálculos Eurocode'!$B$52),T169)</f>
        <v>498.5</v>
      </c>
      <c r="U170" s="100">
        <f t="shared" si="13"/>
        <v>0</v>
      </c>
      <c r="V170" s="2">
        <f>R170+'Cálculos NBR9062 2017'!$B$86*S170/'Cálculos NBR9062 2017'!$B$36</f>
        <v>0</v>
      </c>
      <c r="W170" s="104">
        <f t="shared" si="11"/>
        <v>0</v>
      </c>
    </row>
    <row r="171" spans="1:23" x14ac:dyDescent="0.25">
      <c r="A171" s="83">
        <v>160</v>
      </c>
      <c r="D171" s="65">
        <f>IF(MOD(A171,5)=0,D170+('Cálculos NBR9062 2017'!$B$45+'Cálculos NBR9062 2017'!$B$44),D170)</f>
        <v>514.5</v>
      </c>
      <c r="E171" s="2">
        <f t="shared" si="12"/>
        <v>0</v>
      </c>
      <c r="F171" s="2">
        <f>B171+'Cálculos NBR9062 2017'!$B$86*C171/'Cálculos NBR9062 2017'!$B$36</f>
        <v>0</v>
      </c>
      <c r="G171" s="104">
        <f t="shared" si="10"/>
        <v>0</v>
      </c>
      <c r="Q171" s="83">
        <v>160</v>
      </c>
      <c r="T171" s="65">
        <f>IF(MOD(Q171,5)=0,T170+('Cálculos Eurocode'!$B$51+'Cálculos Eurocode'!$B$52),T170)</f>
        <v>514.5</v>
      </c>
      <c r="U171" s="100">
        <f t="shared" si="13"/>
        <v>0</v>
      </c>
      <c r="V171" s="2">
        <f>R171+'Cálculos NBR9062 2017'!$B$86*S171/'Cálculos NBR9062 2017'!$B$36</f>
        <v>0</v>
      </c>
      <c r="W171" s="104">
        <f t="shared" si="11"/>
        <v>0</v>
      </c>
    </row>
    <row r="172" spans="1:23" x14ac:dyDescent="0.25">
      <c r="A172" s="1">
        <v>161</v>
      </c>
      <c r="D172" s="65">
        <f>IF(MOD(A172,5)=0,D171+('Cálculos NBR9062 2017'!$B$45+'Cálculos NBR9062 2017'!$B$44),D171)</f>
        <v>514.5</v>
      </c>
      <c r="E172" s="2">
        <f t="shared" si="12"/>
        <v>0</v>
      </c>
      <c r="F172" s="2">
        <f>B172+'Cálculos NBR9062 2017'!$B$86*C172/'Cálculos NBR9062 2017'!$B$36</f>
        <v>0</v>
      </c>
      <c r="G172" s="104">
        <f t="shared" si="10"/>
        <v>0</v>
      </c>
      <c r="Q172" s="1">
        <v>161</v>
      </c>
      <c r="T172" s="65">
        <f>IF(MOD(Q172,5)=0,T171+('Cálculos Eurocode'!$B$51+'Cálculos Eurocode'!$B$52),T171)</f>
        <v>514.5</v>
      </c>
      <c r="U172" s="100">
        <f t="shared" si="13"/>
        <v>0</v>
      </c>
      <c r="V172" s="2">
        <f>R172+'Cálculos NBR9062 2017'!$B$86*S172/'Cálculos NBR9062 2017'!$B$36</f>
        <v>0</v>
      </c>
      <c r="W172" s="104">
        <f t="shared" si="11"/>
        <v>0</v>
      </c>
    </row>
    <row r="173" spans="1:23" x14ac:dyDescent="0.25">
      <c r="A173" s="1">
        <v>162</v>
      </c>
      <c r="D173" s="65">
        <f>IF(MOD(A173,5)=0,D172+('Cálculos NBR9062 2017'!$B$45+'Cálculos NBR9062 2017'!$B$44),D172)</f>
        <v>514.5</v>
      </c>
      <c r="E173" s="2">
        <f t="shared" si="12"/>
        <v>0</v>
      </c>
      <c r="F173" s="2">
        <f>B173+'Cálculos NBR9062 2017'!$B$86*C173/'Cálculos NBR9062 2017'!$B$36</f>
        <v>0</v>
      </c>
      <c r="G173" s="104">
        <f t="shared" si="10"/>
        <v>0</v>
      </c>
      <c r="Q173" s="1">
        <v>162</v>
      </c>
      <c r="T173" s="65">
        <f>IF(MOD(Q173,5)=0,T172+('Cálculos Eurocode'!$B$51+'Cálculos Eurocode'!$B$52),T172)</f>
        <v>514.5</v>
      </c>
      <c r="U173" s="100">
        <f t="shared" si="13"/>
        <v>0</v>
      </c>
      <c r="V173" s="2">
        <f>R173+'Cálculos NBR9062 2017'!$B$86*S173/'Cálculos NBR9062 2017'!$B$36</f>
        <v>0</v>
      </c>
      <c r="W173" s="104">
        <f t="shared" si="11"/>
        <v>0</v>
      </c>
    </row>
    <row r="174" spans="1:23" x14ac:dyDescent="0.25">
      <c r="A174" s="1">
        <v>163</v>
      </c>
      <c r="D174" s="65">
        <f>IF(MOD(A174,5)=0,D173+('Cálculos NBR9062 2017'!$B$45+'Cálculos NBR9062 2017'!$B$44),D173)</f>
        <v>514.5</v>
      </c>
      <c r="E174" s="2">
        <f t="shared" si="12"/>
        <v>0</v>
      </c>
      <c r="F174" s="2">
        <f>B174+'Cálculos NBR9062 2017'!$B$86*C174/'Cálculos NBR9062 2017'!$B$36</f>
        <v>0</v>
      </c>
      <c r="G174" s="104">
        <f t="shared" si="10"/>
        <v>0</v>
      </c>
      <c r="Q174" s="1">
        <v>163</v>
      </c>
      <c r="T174" s="65">
        <f>IF(MOD(Q174,5)=0,T173+('Cálculos Eurocode'!$B$51+'Cálculos Eurocode'!$B$52),T173)</f>
        <v>514.5</v>
      </c>
      <c r="U174" s="100">
        <f t="shared" si="13"/>
        <v>0</v>
      </c>
      <c r="V174" s="2">
        <f>R174+'Cálculos NBR9062 2017'!$B$86*S174/'Cálculos NBR9062 2017'!$B$36</f>
        <v>0</v>
      </c>
      <c r="W174" s="104">
        <f t="shared" si="11"/>
        <v>0</v>
      </c>
    </row>
    <row r="175" spans="1:23" x14ac:dyDescent="0.25">
      <c r="A175" s="1">
        <v>164</v>
      </c>
      <c r="D175" s="65">
        <f>IF(MOD(A175,5)=0,D174+('Cálculos NBR9062 2017'!$B$45+'Cálculos NBR9062 2017'!$B$44),D174)</f>
        <v>514.5</v>
      </c>
      <c r="E175" s="2">
        <f t="shared" si="12"/>
        <v>0</v>
      </c>
      <c r="F175" s="2">
        <f>B175+'Cálculos NBR9062 2017'!$B$86*C175/'Cálculos NBR9062 2017'!$B$36</f>
        <v>0</v>
      </c>
      <c r="G175" s="104">
        <f t="shared" si="10"/>
        <v>0</v>
      </c>
      <c r="Q175" s="1">
        <v>164</v>
      </c>
      <c r="T175" s="65">
        <f>IF(MOD(Q175,5)=0,T174+('Cálculos Eurocode'!$B$51+'Cálculos Eurocode'!$B$52),T174)</f>
        <v>514.5</v>
      </c>
      <c r="U175" s="100">
        <f t="shared" si="13"/>
        <v>0</v>
      </c>
      <c r="V175" s="2">
        <f>R175+'Cálculos NBR9062 2017'!$B$86*S175/'Cálculos NBR9062 2017'!$B$36</f>
        <v>0</v>
      </c>
      <c r="W175" s="104">
        <f t="shared" si="11"/>
        <v>0</v>
      </c>
    </row>
    <row r="176" spans="1:23" x14ac:dyDescent="0.25">
      <c r="A176" s="1">
        <v>165</v>
      </c>
      <c r="D176" s="65">
        <f>IF(MOD(A176,5)=0,D175+('Cálculos NBR9062 2017'!$B$45+'Cálculos NBR9062 2017'!$B$44),D175)</f>
        <v>530.5</v>
      </c>
      <c r="E176" s="2">
        <f t="shared" si="12"/>
        <v>0</v>
      </c>
      <c r="F176" s="2">
        <f>B176+'Cálculos NBR9062 2017'!$B$86*C176/'Cálculos NBR9062 2017'!$B$36</f>
        <v>0</v>
      </c>
      <c r="G176" s="104">
        <f t="shared" si="10"/>
        <v>0</v>
      </c>
      <c r="Q176" s="1">
        <v>165</v>
      </c>
      <c r="T176" s="65">
        <f>IF(MOD(Q176,5)=0,T175+('Cálculos Eurocode'!$B$51+'Cálculos Eurocode'!$B$52),T175)</f>
        <v>530.5</v>
      </c>
      <c r="U176" s="100">
        <f t="shared" si="13"/>
        <v>0</v>
      </c>
      <c r="V176" s="2">
        <f>R176+'Cálculos NBR9062 2017'!$B$86*S176/'Cálculos NBR9062 2017'!$B$36</f>
        <v>0</v>
      </c>
      <c r="W176" s="104">
        <f t="shared" si="11"/>
        <v>0</v>
      </c>
    </row>
    <row r="177" spans="1:23" x14ac:dyDescent="0.25">
      <c r="A177" s="1">
        <v>166</v>
      </c>
      <c r="D177" s="65">
        <f>IF(MOD(A177,5)=0,D176+('Cálculos NBR9062 2017'!$B$45+'Cálculos NBR9062 2017'!$B$44),D176)</f>
        <v>530.5</v>
      </c>
      <c r="E177" s="2">
        <f t="shared" si="12"/>
        <v>0</v>
      </c>
      <c r="F177" s="2">
        <f>B177+'Cálculos NBR9062 2017'!$B$86*C177/'Cálculos NBR9062 2017'!$B$36</f>
        <v>0</v>
      </c>
      <c r="G177" s="104">
        <f t="shared" si="10"/>
        <v>0</v>
      </c>
      <c r="Q177" s="1">
        <v>166</v>
      </c>
      <c r="T177" s="65">
        <f>IF(MOD(Q177,5)=0,T176+('Cálculos Eurocode'!$B$51+'Cálculos Eurocode'!$B$52),T176)</f>
        <v>530.5</v>
      </c>
      <c r="U177" s="100">
        <f t="shared" si="13"/>
        <v>0</v>
      </c>
      <c r="V177" s="2">
        <f>R177+'Cálculos NBR9062 2017'!$B$86*S177/'Cálculos NBR9062 2017'!$B$36</f>
        <v>0</v>
      </c>
      <c r="W177" s="104">
        <f t="shared" si="11"/>
        <v>0</v>
      </c>
    </row>
    <row r="178" spans="1:23" x14ac:dyDescent="0.25">
      <c r="A178" s="83">
        <v>167</v>
      </c>
      <c r="D178" s="65">
        <f>IF(MOD(A178,5)=0,D177+('Cálculos NBR9062 2017'!$B$45+'Cálculos NBR9062 2017'!$B$44),D177)</f>
        <v>530.5</v>
      </c>
      <c r="E178" s="2">
        <f t="shared" si="12"/>
        <v>0</v>
      </c>
      <c r="F178" s="2">
        <f>B178+'Cálculos NBR9062 2017'!$B$86*C178/'Cálculos NBR9062 2017'!$B$36</f>
        <v>0</v>
      </c>
      <c r="G178" s="104">
        <f t="shared" si="10"/>
        <v>0</v>
      </c>
      <c r="Q178" s="83">
        <v>167</v>
      </c>
      <c r="T178" s="65">
        <f>IF(MOD(Q178,5)=0,T177+('Cálculos Eurocode'!$B$51+'Cálculos Eurocode'!$B$52),T177)</f>
        <v>530.5</v>
      </c>
      <c r="U178" s="100">
        <f t="shared" si="13"/>
        <v>0</v>
      </c>
      <c r="V178" s="2">
        <f>R178+'Cálculos NBR9062 2017'!$B$86*S178/'Cálculos NBR9062 2017'!$B$36</f>
        <v>0</v>
      </c>
      <c r="W178" s="104">
        <f t="shared" si="11"/>
        <v>0</v>
      </c>
    </row>
    <row r="179" spans="1:23" x14ac:dyDescent="0.25">
      <c r="A179" s="83">
        <v>168</v>
      </c>
      <c r="D179" s="65">
        <f>IF(MOD(A179,5)=0,D178+('Cálculos NBR9062 2017'!$B$45+'Cálculos NBR9062 2017'!$B$44),D178)</f>
        <v>530.5</v>
      </c>
      <c r="E179" s="2">
        <f t="shared" si="12"/>
        <v>0</v>
      </c>
      <c r="F179" s="2">
        <f>B179+'Cálculos NBR9062 2017'!$B$86*C179/'Cálculos NBR9062 2017'!$B$36</f>
        <v>0</v>
      </c>
      <c r="G179" s="104">
        <f t="shared" si="10"/>
        <v>0</v>
      </c>
      <c r="Q179" s="83">
        <v>168</v>
      </c>
      <c r="T179" s="65">
        <f>IF(MOD(Q179,5)=0,T178+('Cálculos Eurocode'!$B$51+'Cálculos Eurocode'!$B$52),T178)</f>
        <v>530.5</v>
      </c>
      <c r="U179" s="100">
        <f t="shared" si="13"/>
        <v>0</v>
      </c>
      <c r="V179" s="2">
        <f>R179+'Cálculos NBR9062 2017'!$B$86*S179/'Cálculos NBR9062 2017'!$B$36</f>
        <v>0</v>
      </c>
      <c r="W179" s="104">
        <f t="shared" si="11"/>
        <v>0</v>
      </c>
    </row>
    <row r="180" spans="1:23" x14ac:dyDescent="0.25">
      <c r="A180" s="83">
        <v>169</v>
      </c>
      <c r="D180" s="65">
        <f>IF(MOD(A180,5)=0,D179+('Cálculos NBR9062 2017'!$B$45+'Cálculos NBR9062 2017'!$B$44),D179)</f>
        <v>530.5</v>
      </c>
      <c r="E180" s="2">
        <f t="shared" si="12"/>
        <v>0</v>
      </c>
      <c r="F180" s="2">
        <f>B180+'Cálculos NBR9062 2017'!$B$86*C180/'Cálculos NBR9062 2017'!$B$36</f>
        <v>0</v>
      </c>
      <c r="G180" s="104">
        <f t="shared" si="10"/>
        <v>0</v>
      </c>
      <c r="Q180" s="83">
        <v>169</v>
      </c>
      <c r="T180" s="65">
        <f>IF(MOD(Q180,5)=0,T179+('Cálculos Eurocode'!$B$51+'Cálculos Eurocode'!$B$52),T179)</f>
        <v>530.5</v>
      </c>
      <c r="U180" s="100">
        <f t="shared" si="13"/>
        <v>0</v>
      </c>
      <c r="V180" s="2">
        <f>R180+'Cálculos NBR9062 2017'!$B$86*S180/'Cálculos NBR9062 2017'!$B$36</f>
        <v>0</v>
      </c>
      <c r="W180" s="104">
        <f t="shared" si="11"/>
        <v>0</v>
      </c>
    </row>
    <row r="181" spans="1:23" x14ac:dyDescent="0.25">
      <c r="A181" s="83">
        <v>170</v>
      </c>
      <c r="D181" s="65">
        <f>IF(MOD(A181,5)=0,D180+('Cálculos NBR9062 2017'!$B$45+'Cálculos NBR9062 2017'!$B$44),D180)</f>
        <v>546.5</v>
      </c>
      <c r="E181" s="2">
        <f t="shared" si="12"/>
        <v>0</v>
      </c>
      <c r="F181" s="2">
        <f>B181+'Cálculos NBR9062 2017'!$B$86*C181/'Cálculos NBR9062 2017'!$B$36</f>
        <v>0</v>
      </c>
      <c r="G181" s="104">
        <f t="shared" si="10"/>
        <v>0</v>
      </c>
      <c r="Q181" s="83">
        <v>170</v>
      </c>
      <c r="T181" s="65">
        <f>IF(MOD(Q181,5)=0,T180+('Cálculos Eurocode'!$B$51+'Cálculos Eurocode'!$B$52),T180)</f>
        <v>546.5</v>
      </c>
      <c r="U181" s="100">
        <f t="shared" si="13"/>
        <v>0</v>
      </c>
      <c r="V181" s="2">
        <f>R181+'Cálculos NBR9062 2017'!$B$86*S181/'Cálculos NBR9062 2017'!$B$36</f>
        <v>0</v>
      </c>
      <c r="W181" s="104">
        <f t="shared" si="11"/>
        <v>0</v>
      </c>
    </row>
    <row r="182" spans="1:23" x14ac:dyDescent="0.25">
      <c r="A182" s="1">
        <v>171</v>
      </c>
      <c r="D182" s="65">
        <f>IF(MOD(A182,5)=0,D181+('Cálculos NBR9062 2017'!$B$45+'Cálculos NBR9062 2017'!$B$44),D181)</f>
        <v>546.5</v>
      </c>
      <c r="E182" s="2">
        <f t="shared" si="12"/>
        <v>0</v>
      </c>
      <c r="F182" s="2">
        <f>B182+'Cálculos NBR9062 2017'!$B$86*C182/'Cálculos NBR9062 2017'!$B$36</f>
        <v>0</v>
      </c>
      <c r="G182" s="104">
        <f t="shared" si="10"/>
        <v>0</v>
      </c>
      <c r="Q182" s="1">
        <v>171</v>
      </c>
      <c r="T182" s="65">
        <f>IF(MOD(Q182,5)=0,T181+('Cálculos Eurocode'!$B$51+'Cálculos Eurocode'!$B$52),T181)</f>
        <v>546.5</v>
      </c>
      <c r="U182" s="100">
        <f t="shared" si="13"/>
        <v>0</v>
      </c>
      <c r="V182" s="2">
        <f>R182+'Cálculos NBR9062 2017'!$B$86*S182/'Cálculos NBR9062 2017'!$B$36</f>
        <v>0</v>
      </c>
      <c r="W182" s="104">
        <f t="shared" si="11"/>
        <v>0</v>
      </c>
    </row>
    <row r="183" spans="1:23" x14ac:dyDescent="0.25">
      <c r="A183" s="1">
        <v>172</v>
      </c>
      <c r="D183" s="65">
        <f>IF(MOD(A183,5)=0,D182+('Cálculos NBR9062 2017'!$B$45+'Cálculos NBR9062 2017'!$B$44),D182)</f>
        <v>546.5</v>
      </c>
      <c r="E183" s="2">
        <f t="shared" si="12"/>
        <v>0</v>
      </c>
      <c r="F183" s="2">
        <f>B183+'Cálculos NBR9062 2017'!$B$86*C183/'Cálculos NBR9062 2017'!$B$36</f>
        <v>0</v>
      </c>
      <c r="G183" s="104">
        <f t="shared" si="10"/>
        <v>0</v>
      </c>
      <c r="Q183" s="1">
        <v>172</v>
      </c>
      <c r="T183" s="65">
        <f>IF(MOD(Q183,5)=0,T182+('Cálculos Eurocode'!$B$51+'Cálculos Eurocode'!$B$52),T182)</f>
        <v>546.5</v>
      </c>
      <c r="U183" s="100">
        <f t="shared" si="13"/>
        <v>0</v>
      </c>
      <c r="V183" s="2">
        <f>R183+'Cálculos NBR9062 2017'!$B$86*S183/'Cálculos NBR9062 2017'!$B$36</f>
        <v>0</v>
      </c>
      <c r="W183" s="104">
        <f t="shared" si="11"/>
        <v>0</v>
      </c>
    </row>
    <row r="184" spans="1:23" x14ac:dyDescent="0.25">
      <c r="A184" s="1">
        <v>173</v>
      </c>
      <c r="D184" s="65">
        <f>IF(MOD(A184,5)=0,D183+('Cálculos NBR9062 2017'!$B$45+'Cálculos NBR9062 2017'!$B$44),D183)</f>
        <v>546.5</v>
      </c>
      <c r="E184" s="2">
        <f t="shared" si="12"/>
        <v>0</v>
      </c>
      <c r="F184" s="2">
        <f>B184+'Cálculos NBR9062 2017'!$B$86*C184/'Cálculos NBR9062 2017'!$B$36</f>
        <v>0</v>
      </c>
      <c r="G184" s="104">
        <f t="shared" si="10"/>
        <v>0</v>
      </c>
      <c r="Q184" s="1">
        <v>173</v>
      </c>
      <c r="T184" s="65">
        <f>IF(MOD(Q184,5)=0,T183+('Cálculos Eurocode'!$B$51+'Cálculos Eurocode'!$B$52),T183)</f>
        <v>546.5</v>
      </c>
      <c r="U184" s="100">
        <f t="shared" si="13"/>
        <v>0</v>
      </c>
      <c r="V184" s="2">
        <f>R184+'Cálculos NBR9062 2017'!$B$86*S184/'Cálculos NBR9062 2017'!$B$36</f>
        <v>0</v>
      </c>
      <c r="W184" s="104">
        <f t="shared" si="11"/>
        <v>0</v>
      </c>
    </row>
    <row r="185" spans="1:23" x14ac:dyDescent="0.25">
      <c r="A185" s="1">
        <v>174</v>
      </c>
      <c r="D185" s="65">
        <f>IF(MOD(A185,5)=0,D184+('Cálculos NBR9062 2017'!$B$45+'Cálculos NBR9062 2017'!$B$44),D184)</f>
        <v>546.5</v>
      </c>
      <c r="E185" s="2">
        <f t="shared" si="12"/>
        <v>0</v>
      </c>
      <c r="F185" s="2">
        <f>B185+'Cálculos NBR9062 2017'!$B$86*C185/'Cálculos NBR9062 2017'!$B$36</f>
        <v>0</v>
      </c>
      <c r="G185" s="104">
        <f t="shared" si="10"/>
        <v>0</v>
      </c>
      <c r="Q185" s="1">
        <v>174</v>
      </c>
      <c r="T185" s="65">
        <f>IF(MOD(Q185,5)=0,T184+('Cálculos Eurocode'!$B$51+'Cálculos Eurocode'!$B$52),T184)</f>
        <v>546.5</v>
      </c>
      <c r="U185" s="100">
        <f t="shared" si="13"/>
        <v>0</v>
      </c>
      <c r="V185" s="2">
        <f>R185+'Cálculos NBR9062 2017'!$B$86*S185/'Cálculos NBR9062 2017'!$B$36</f>
        <v>0</v>
      </c>
      <c r="W185" s="104">
        <f t="shared" si="11"/>
        <v>0</v>
      </c>
    </row>
    <row r="186" spans="1:23" x14ac:dyDescent="0.25">
      <c r="A186" s="1">
        <v>175</v>
      </c>
      <c r="D186" s="65">
        <f>IF(MOD(A186,5)=0,D185+('Cálculos NBR9062 2017'!$B$45+'Cálculos NBR9062 2017'!$B$44),D185)</f>
        <v>562.5</v>
      </c>
      <c r="E186" s="2">
        <f t="shared" si="12"/>
        <v>0</v>
      </c>
      <c r="F186" s="2">
        <f>B186+'Cálculos NBR9062 2017'!$B$86*C186/'Cálculos NBR9062 2017'!$B$36</f>
        <v>0</v>
      </c>
      <c r="G186" s="104">
        <f t="shared" si="10"/>
        <v>0</v>
      </c>
      <c r="Q186" s="1">
        <v>175</v>
      </c>
      <c r="T186" s="65">
        <f>IF(MOD(Q186,5)=0,T185+('Cálculos Eurocode'!$B$51+'Cálculos Eurocode'!$B$52),T185)</f>
        <v>562.5</v>
      </c>
      <c r="U186" s="100">
        <f t="shared" si="13"/>
        <v>0</v>
      </c>
      <c r="V186" s="2">
        <f>R186+'Cálculos NBR9062 2017'!$B$86*S186/'Cálculos NBR9062 2017'!$B$36</f>
        <v>0</v>
      </c>
      <c r="W186" s="104">
        <f t="shared" si="11"/>
        <v>0</v>
      </c>
    </row>
    <row r="187" spans="1:23" x14ac:dyDescent="0.25">
      <c r="A187" s="1">
        <v>176</v>
      </c>
      <c r="D187" s="65">
        <f>IF(MOD(A187,5)=0,D186+('Cálculos NBR9062 2017'!$B$45+'Cálculos NBR9062 2017'!$B$44),D186)</f>
        <v>562.5</v>
      </c>
      <c r="E187" s="2">
        <f t="shared" si="12"/>
        <v>0</v>
      </c>
      <c r="F187" s="2">
        <f>B187+'Cálculos NBR9062 2017'!$B$86*C187/'Cálculos NBR9062 2017'!$B$36</f>
        <v>0</v>
      </c>
      <c r="G187" s="104">
        <f t="shared" si="10"/>
        <v>0</v>
      </c>
      <c r="Q187" s="1">
        <v>176</v>
      </c>
      <c r="T187" s="65">
        <f>IF(MOD(Q187,5)=0,T186+('Cálculos Eurocode'!$B$51+'Cálculos Eurocode'!$B$52),T186)</f>
        <v>562.5</v>
      </c>
      <c r="U187" s="100">
        <f t="shared" si="13"/>
        <v>0</v>
      </c>
      <c r="V187" s="2">
        <f>R187+'Cálculos NBR9062 2017'!$B$86*S187/'Cálculos NBR9062 2017'!$B$36</f>
        <v>0</v>
      </c>
      <c r="W187" s="104">
        <f t="shared" si="11"/>
        <v>0</v>
      </c>
    </row>
    <row r="188" spans="1:23" x14ac:dyDescent="0.25">
      <c r="A188" s="83">
        <v>177</v>
      </c>
      <c r="D188" s="65">
        <f>IF(MOD(A188,5)=0,D187+('Cálculos NBR9062 2017'!$B$45+'Cálculos NBR9062 2017'!$B$44),D187)</f>
        <v>562.5</v>
      </c>
      <c r="E188" s="2">
        <f t="shared" si="12"/>
        <v>0</v>
      </c>
      <c r="F188" s="2">
        <f>B188+'Cálculos NBR9062 2017'!$B$86*C188/'Cálculos NBR9062 2017'!$B$36</f>
        <v>0</v>
      </c>
      <c r="G188" s="104">
        <f t="shared" si="10"/>
        <v>0</v>
      </c>
      <c r="Q188" s="83">
        <v>177</v>
      </c>
      <c r="T188" s="65">
        <f>IF(MOD(Q188,5)=0,T187+('Cálculos Eurocode'!$B$51+'Cálculos Eurocode'!$B$52),T187)</f>
        <v>562.5</v>
      </c>
      <c r="U188" s="100">
        <f t="shared" si="13"/>
        <v>0</v>
      </c>
      <c r="V188" s="2">
        <f>R188+'Cálculos NBR9062 2017'!$B$86*S188/'Cálculos NBR9062 2017'!$B$36</f>
        <v>0</v>
      </c>
      <c r="W188" s="104">
        <f t="shared" si="11"/>
        <v>0</v>
      </c>
    </row>
    <row r="189" spans="1:23" x14ac:dyDescent="0.25">
      <c r="A189" s="83">
        <v>178</v>
      </c>
      <c r="D189" s="65">
        <f>IF(MOD(A189,5)=0,D188+('Cálculos NBR9062 2017'!$B$45+'Cálculos NBR9062 2017'!$B$44),D188)</f>
        <v>562.5</v>
      </c>
      <c r="E189" s="2">
        <f t="shared" si="12"/>
        <v>0</v>
      </c>
      <c r="F189" s="2">
        <f>B189+'Cálculos NBR9062 2017'!$B$86*C189/'Cálculos NBR9062 2017'!$B$36</f>
        <v>0</v>
      </c>
      <c r="G189" s="104">
        <f t="shared" si="10"/>
        <v>0</v>
      </c>
      <c r="Q189" s="83">
        <v>178</v>
      </c>
      <c r="T189" s="65">
        <f>IF(MOD(Q189,5)=0,T188+('Cálculos Eurocode'!$B$51+'Cálculos Eurocode'!$B$52),T188)</f>
        <v>562.5</v>
      </c>
      <c r="U189" s="100">
        <f t="shared" si="13"/>
        <v>0</v>
      </c>
      <c r="V189" s="2">
        <f>R189+'Cálculos NBR9062 2017'!$B$86*S189/'Cálculos NBR9062 2017'!$B$36</f>
        <v>0</v>
      </c>
      <c r="W189" s="104">
        <f t="shared" si="11"/>
        <v>0</v>
      </c>
    </row>
    <row r="190" spans="1:23" x14ac:dyDescent="0.25">
      <c r="A190" s="83">
        <v>179</v>
      </c>
      <c r="D190" s="65">
        <f>IF(MOD(A190,5)=0,D189+('Cálculos NBR9062 2017'!$B$45+'Cálculos NBR9062 2017'!$B$44),D189)</f>
        <v>562.5</v>
      </c>
      <c r="E190" s="2">
        <f t="shared" si="12"/>
        <v>0</v>
      </c>
      <c r="F190" s="2">
        <f>B190+'Cálculos NBR9062 2017'!$B$86*C190/'Cálculos NBR9062 2017'!$B$36</f>
        <v>0</v>
      </c>
      <c r="G190" s="104">
        <f t="shared" si="10"/>
        <v>0</v>
      </c>
      <c r="Q190" s="83">
        <v>179</v>
      </c>
      <c r="T190" s="65">
        <f>IF(MOD(Q190,5)=0,T189+('Cálculos Eurocode'!$B$51+'Cálculos Eurocode'!$B$52),T189)</f>
        <v>562.5</v>
      </c>
      <c r="U190" s="100">
        <f t="shared" si="13"/>
        <v>0</v>
      </c>
      <c r="V190" s="2">
        <f>R190+'Cálculos NBR9062 2017'!$B$86*S190/'Cálculos NBR9062 2017'!$B$36</f>
        <v>0</v>
      </c>
      <c r="W190" s="104">
        <f t="shared" si="11"/>
        <v>0</v>
      </c>
    </row>
    <row r="191" spans="1:23" x14ac:dyDescent="0.25">
      <c r="A191" s="83">
        <v>180</v>
      </c>
      <c r="D191" s="65">
        <f>IF(MOD(A191,5)=0,D190+('Cálculos NBR9062 2017'!$B$45+'Cálculos NBR9062 2017'!$B$44),D190)</f>
        <v>578.5</v>
      </c>
      <c r="E191" s="2">
        <f t="shared" si="12"/>
        <v>0</v>
      </c>
      <c r="F191" s="2">
        <f>B191+'Cálculos NBR9062 2017'!$B$86*C191/'Cálculos NBR9062 2017'!$B$36</f>
        <v>0</v>
      </c>
      <c r="G191" s="104">
        <f t="shared" si="10"/>
        <v>0</v>
      </c>
      <c r="Q191" s="83">
        <v>180</v>
      </c>
      <c r="T191" s="65">
        <f>IF(MOD(Q191,5)=0,T190+('Cálculos Eurocode'!$B$51+'Cálculos Eurocode'!$B$52),T190)</f>
        <v>578.5</v>
      </c>
      <c r="U191" s="100">
        <f t="shared" si="13"/>
        <v>0</v>
      </c>
      <c r="V191" s="2">
        <f>R191+'Cálculos NBR9062 2017'!$B$86*S191/'Cálculos NBR9062 2017'!$B$36</f>
        <v>0</v>
      </c>
      <c r="W191" s="104">
        <f t="shared" si="11"/>
        <v>0</v>
      </c>
    </row>
    <row r="192" spans="1:23" x14ac:dyDescent="0.25">
      <c r="A192" s="1">
        <v>181</v>
      </c>
      <c r="D192" s="65">
        <f>IF(MOD(A192,5)=0,D191+('Cálculos NBR9062 2017'!$B$45+'Cálculos NBR9062 2017'!$B$44),D191)</f>
        <v>578.5</v>
      </c>
      <c r="E192" s="2">
        <f t="shared" si="12"/>
        <v>0</v>
      </c>
      <c r="F192" s="2">
        <f>B192+'Cálculos NBR9062 2017'!$B$86*C192/'Cálculos NBR9062 2017'!$B$36</f>
        <v>0</v>
      </c>
      <c r="G192" s="104">
        <f t="shared" si="10"/>
        <v>0</v>
      </c>
      <c r="Q192" s="1">
        <v>181</v>
      </c>
      <c r="T192" s="65">
        <f>IF(MOD(Q192,5)=0,T191+('Cálculos Eurocode'!$B$51+'Cálculos Eurocode'!$B$52),T191)</f>
        <v>578.5</v>
      </c>
      <c r="U192" s="100">
        <f t="shared" si="13"/>
        <v>0</v>
      </c>
      <c r="V192" s="2">
        <f>R192+'Cálculos NBR9062 2017'!$B$86*S192/'Cálculos NBR9062 2017'!$B$36</f>
        <v>0</v>
      </c>
      <c r="W192" s="104">
        <f t="shared" si="11"/>
        <v>0</v>
      </c>
    </row>
    <row r="193" spans="1:23" x14ac:dyDescent="0.25">
      <c r="A193" s="1">
        <v>182</v>
      </c>
      <c r="D193" s="65">
        <f>IF(MOD(A193,5)=0,D192+('Cálculos NBR9062 2017'!$B$45+'Cálculos NBR9062 2017'!$B$44),D192)</f>
        <v>578.5</v>
      </c>
      <c r="E193" s="2">
        <f t="shared" si="12"/>
        <v>0</v>
      </c>
      <c r="F193" s="2">
        <f>B193+'Cálculos NBR9062 2017'!$B$86*C193/'Cálculos NBR9062 2017'!$B$36</f>
        <v>0</v>
      </c>
      <c r="G193" s="104">
        <f t="shared" si="10"/>
        <v>0</v>
      </c>
      <c r="Q193" s="1">
        <v>182</v>
      </c>
      <c r="T193" s="65">
        <f>IF(MOD(Q193,5)=0,T192+('Cálculos Eurocode'!$B$51+'Cálculos Eurocode'!$B$52),T192)</f>
        <v>578.5</v>
      </c>
      <c r="U193" s="100">
        <f t="shared" si="13"/>
        <v>0</v>
      </c>
      <c r="V193" s="2">
        <f>R193+'Cálculos NBR9062 2017'!$B$86*S193/'Cálculos NBR9062 2017'!$B$36</f>
        <v>0</v>
      </c>
      <c r="W193" s="104">
        <f t="shared" si="11"/>
        <v>0</v>
      </c>
    </row>
    <row r="194" spans="1:23" x14ac:dyDescent="0.25">
      <c r="A194" s="1">
        <v>183</v>
      </c>
      <c r="D194" s="65">
        <f>IF(MOD(A194,5)=0,D193+('Cálculos NBR9062 2017'!$B$45+'Cálculos NBR9062 2017'!$B$44),D193)</f>
        <v>578.5</v>
      </c>
      <c r="E194" s="2">
        <f t="shared" si="12"/>
        <v>0</v>
      </c>
      <c r="F194" s="2">
        <f>B194+'Cálculos NBR9062 2017'!$B$86*C194/'Cálculos NBR9062 2017'!$B$36</f>
        <v>0</v>
      </c>
      <c r="G194" s="104">
        <f t="shared" si="10"/>
        <v>0</v>
      </c>
      <c r="Q194" s="1">
        <v>183</v>
      </c>
      <c r="T194" s="65">
        <f>IF(MOD(Q194,5)=0,T193+('Cálculos Eurocode'!$B$51+'Cálculos Eurocode'!$B$52),T193)</f>
        <v>578.5</v>
      </c>
      <c r="U194" s="100">
        <f t="shared" si="13"/>
        <v>0</v>
      </c>
      <c r="V194" s="2">
        <f>R194+'Cálculos NBR9062 2017'!$B$86*S194/'Cálculos NBR9062 2017'!$B$36</f>
        <v>0</v>
      </c>
      <c r="W194" s="104">
        <f t="shared" si="11"/>
        <v>0</v>
      </c>
    </row>
    <row r="195" spans="1:23" x14ac:dyDescent="0.25">
      <c r="A195" s="1">
        <v>184</v>
      </c>
      <c r="D195" s="65">
        <f>IF(MOD(A195,5)=0,D194+('Cálculos NBR9062 2017'!$B$45+'Cálculos NBR9062 2017'!$B$44),D194)</f>
        <v>578.5</v>
      </c>
      <c r="E195" s="2">
        <f t="shared" si="12"/>
        <v>0</v>
      </c>
      <c r="F195" s="2">
        <f>B195+'Cálculos NBR9062 2017'!$B$86*C195/'Cálculos NBR9062 2017'!$B$36</f>
        <v>0</v>
      </c>
      <c r="G195" s="104">
        <f t="shared" si="10"/>
        <v>0</v>
      </c>
      <c r="Q195" s="1">
        <v>184</v>
      </c>
      <c r="T195" s="65">
        <f>IF(MOD(Q195,5)=0,T194+('Cálculos Eurocode'!$B$51+'Cálculos Eurocode'!$B$52),T194)</f>
        <v>578.5</v>
      </c>
      <c r="U195" s="100">
        <f t="shared" si="13"/>
        <v>0</v>
      </c>
      <c r="V195" s="2">
        <f>R195+'Cálculos NBR9062 2017'!$B$86*S195/'Cálculos NBR9062 2017'!$B$36</f>
        <v>0</v>
      </c>
      <c r="W195" s="104">
        <f t="shared" si="11"/>
        <v>0</v>
      </c>
    </row>
    <row r="196" spans="1:23" x14ac:dyDescent="0.25">
      <c r="A196" s="1">
        <v>185</v>
      </c>
      <c r="D196" s="65">
        <f>IF(MOD(A196,5)=0,D195+('Cálculos NBR9062 2017'!$B$45+'Cálculos NBR9062 2017'!$B$44),D195)</f>
        <v>594.5</v>
      </c>
      <c r="E196" s="2">
        <f t="shared" si="12"/>
        <v>0</v>
      </c>
      <c r="F196" s="2">
        <f>B196+'Cálculos NBR9062 2017'!$B$86*C196/'Cálculos NBR9062 2017'!$B$36</f>
        <v>0</v>
      </c>
      <c r="G196" s="104">
        <f t="shared" si="10"/>
        <v>0</v>
      </c>
      <c r="Q196" s="1">
        <v>185</v>
      </c>
      <c r="T196" s="65">
        <f>IF(MOD(Q196,5)=0,T195+('Cálculos Eurocode'!$B$51+'Cálculos Eurocode'!$B$52),T195)</f>
        <v>594.5</v>
      </c>
      <c r="U196" s="100">
        <f t="shared" si="13"/>
        <v>0</v>
      </c>
      <c r="V196" s="2">
        <f>R196+'Cálculos NBR9062 2017'!$B$86*S196/'Cálculos NBR9062 2017'!$B$36</f>
        <v>0</v>
      </c>
      <c r="W196" s="104">
        <f t="shared" si="11"/>
        <v>0</v>
      </c>
    </row>
    <row r="197" spans="1:23" x14ac:dyDescent="0.25">
      <c r="A197" s="1">
        <v>186</v>
      </c>
      <c r="D197" s="65">
        <f>IF(MOD(A197,5)=0,D196+('Cálculos NBR9062 2017'!$B$45+'Cálculos NBR9062 2017'!$B$44),D196)</f>
        <v>594.5</v>
      </c>
      <c r="E197" s="2">
        <f t="shared" si="12"/>
        <v>0</v>
      </c>
      <c r="F197" s="2">
        <f>B197+'Cálculos NBR9062 2017'!$B$86*C197/'Cálculos NBR9062 2017'!$B$36</f>
        <v>0</v>
      </c>
      <c r="G197" s="104">
        <f t="shared" si="10"/>
        <v>0</v>
      </c>
      <c r="Q197" s="1">
        <v>186</v>
      </c>
      <c r="T197" s="65">
        <f>IF(MOD(Q197,5)=0,T196+('Cálculos Eurocode'!$B$51+'Cálculos Eurocode'!$B$52),T196)</f>
        <v>594.5</v>
      </c>
      <c r="U197" s="100">
        <f t="shared" si="13"/>
        <v>0</v>
      </c>
      <c r="V197" s="2">
        <f>R197+'Cálculos NBR9062 2017'!$B$86*S197/'Cálculos NBR9062 2017'!$B$36</f>
        <v>0</v>
      </c>
      <c r="W197" s="104">
        <f t="shared" si="11"/>
        <v>0</v>
      </c>
    </row>
    <row r="198" spans="1:23" x14ac:dyDescent="0.25">
      <c r="A198" s="83">
        <v>187</v>
      </c>
      <c r="D198" s="65">
        <f>IF(MOD(A198,5)=0,D197+('Cálculos NBR9062 2017'!$B$45+'Cálculos NBR9062 2017'!$B$44),D197)</f>
        <v>594.5</v>
      </c>
      <c r="E198" s="2">
        <f t="shared" si="12"/>
        <v>0</v>
      </c>
      <c r="F198" s="2">
        <f>B198+'Cálculos NBR9062 2017'!$B$86*C198/'Cálculos NBR9062 2017'!$B$36</f>
        <v>0</v>
      </c>
      <c r="G198" s="104">
        <f t="shared" si="10"/>
        <v>0</v>
      </c>
      <c r="Q198" s="83">
        <v>187</v>
      </c>
      <c r="T198" s="65">
        <f>IF(MOD(Q198,5)=0,T197+('Cálculos Eurocode'!$B$51+'Cálculos Eurocode'!$B$52),T197)</f>
        <v>594.5</v>
      </c>
      <c r="U198" s="100">
        <f t="shared" si="13"/>
        <v>0</v>
      </c>
      <c r="V198" s="2">
        <f>R198+'Cálculos NBR9062 2017'!$B$86*S198/'Cálculos NBR9062 2017'!$B$36</f>
        <v>0</v>
      </c>
      <c r="W198" s="104">
        <f t="shared" si="11"/>
        <v>0</v>
      </c>
    </row>
    <row r="199" spans="1:23" x14ac:dyDescent="0.25">
      <c r="A199" s="83">
        <v>188</v>
      </c>
      <c r="D199" s="65">
        <f>IF(MOD(A199,5)=0,D198+('Cálculos NBR9062 2017'!$B$45+'Cálculos NBR9062 2017'!$B$44),D198)</f>
        <v>594.5</v>
      </c>
      <c r="E199" s="2">
        <f t="shared" si="12"/>
        <v>0</v>
      </c>
      <c r="F199" s="2">
        <f>B199+'Cálculos NBR9062 2017'!$B$86*C199/'Cálculos NBR9062 2017'!$B$36</f>
        <v>0</v>
      </c>
      <c r="G199" s="104">
        <f t="shared" si="10"/>
        <v>0</v>
      </c>
      <c r="Q199" s="83">
        <v>188</v>
      </c>
      <c r="T199" s="65">
        <f>IF(MOD(Q199,5)=0,T198+('Cálculos Eurocode'!$B$51+'Cálculos Eurocode'!$B$52),T198)</f>
        <v>594.5</v>
      </c>
      <c r="U199" s="100">
        <f t="shared" si="13"/>
        <v>0</v>
      </c>
      <c r="V199" s="2">
        <f>R199+'Cálculos NBR9062 2017'!$B$86*S199/'Cálculos NBR9062 2017'!$B$36</f>
        <v>0</v>
      </c>
      <c r="W199" s="104">
        <f t="shared" si="11"/>
        <v>0</v>
      </c>
    </row>
    <row r="200" spans="1:23" x14ac:dyDescent="0.25">
      <c r="A200" s="83">
        <v>189</v>
      </c>
      <c r="D200" s="65">
        <f>IF(MOD(A200,5)=0,D199+('Cálculos NBR9062 2017'!$B$45+'Cálculos NBR9062 2017'!$B$44),D199)</f>
        <v>594.5</v>
      </c>
      <c r="E200" s="2">
        <f t="shared" si="12"/>
        <v>0</v>
      </c>
      <c r="F200" s="2">
        <f>B200+'Cálculos NBR9062 2017'!$B$86*C200/'Cálculos NBR9062 2017'!$B$36</f>
        <v>0</v>
      </c>
      <c r="G200" s="104">
        <f t="shared" si="10"/>
        <v>0</v>
      </c>
      <c r="Q200" s="83">
        <v>189</v>
      </c>
      <c r="T200" s="65">
        <f>IF(MOD(Q200,5)=0,T199+('Cálculos Eurocode'!$B$51+'Cálculos Eurocode'!$B$52),T199)</f>
        <v>594.5</v>
      </c>
      <c r="U200" s="100">
        <f t="shared" si="13"/>
        <v>0</v>
      </c>
      <c r="V200" s="2">
        <f>R200+'Cálculos NBR9062 2017'!$B$86*S200/'Cálculos NBR9062 2017'!$B$36</f>
        <v>0</v>
      </c>
      <c r="W200" s="104">
        <f t="shared" si="11"/>
        <v>0</v>
      </c>
    </row>
    <row r="201" spans="1:23" x14ac:dyDescent="0.25">
      <c r="A201" s="83">
        <v>190</v>
      </c>
      <c r="D201" s="65">
        <f>IF(MOD(A201,5)=0,D200+('Cálculos NBR9062 2017'!$B$45+'Cálculos NBR9062 2017'!$B$44),D200)</f>
        <v>610.5</v>
      </c>
      <c r="E201" s="2">
        <f t="shared" si="12"/>
        <v>0</v>
      </c>
      <c r="F201" s="2">
        <f>B201+'Cálculos NBR9062 2017'!$B$86*C201/'Cálculos NBR9062 2017'!$B$36</f>
        <v>0</v>
      </c>
      <c r="G201" s="104">
        <f t="shared" si="10"/>
        <v>0</v>
      </c>
      <c r="Q201" s="83">
        <v>190</v>
      </c>
      <c r="T201" s="65">
        <f>IF(MOD(Q201,5)=0,T200+('Cálculos Eurocode'!$B$51+'Cálculos Eurocode'!$B$52),T200)</f>
        <v>610.5</v>
      </c>
      <c r="U201" s="100">
        <f t="shared" si="13"/>
        <v>0</v>
      </c>
      <c r="V201" s="2">
        <f>R201+'Cálculos NBR9062 2017'!$B$86*S201/'Cálculos NBR9062 2017'!$B$36</f>
        <v>0</v>
      </c>
      <c r="W201" s="104">
        <f t="shared" si="11"/>
        <v>0</v>
      </c>
    </row>
    <row r="202" spans="1:23" x14ac:dyDescent="0.25">
      <c r="A202" s="1">
        <v>191</v>
      </c>
      <c r="D202" s="65">
        <f>IF(MOD(A202,5)=0,D201+('Cálculos NBR9062 2017'!$B$45+'Cálculos NBR9062 2017'!$B$44),D201)</f>
        <v>610.5</v>
      </c>
      <c r="E202" s="2">
        <f t="shared" si="12"/>
        <v>0</v>
      </c>
      <c r="F202" s="2">
        <f>B202+'Cálculos NBR9062 2017'!$B$86*C202/'Cálculos NBR9062 2017'!$B$36</f>
        <v>0</v>
      </c>
      <c r="G202" s="104">
        <f t="shared" si="10"/>
        <v>0</v>
      </c>
      <c r="Q202" s="1">
        <v>191</v>
      </c>
      <c r="T202" s="65">
        <f>IF(MOD(Q202,5)=0,T201+('Cálculos Eurocode'!$B$51+'Cálculos Eurocode'!$B$52),T201)</f>
        <v>610.5</v>
      </c>
      <c r="U202" s="100">
        <f t="shared" si="13"/>
        <v>0</v>
      </c>
      <c r="V202" s="2">
        <f>R202+'Cálculos NBR9062 2017'!$B$86*S202/'Cálculos NBR9062 2017'!$B$36</f>
        <v>0</v>
      </c>
      <c r="W202" s="104">
        <f t="shared" si="11"/>
        <v>0</v>
      </c>
    </row>
    <row r="203" spans="1:23" x14ac:dyDescent="0.25">
      <c r="A203" s="1">
        <v>192</v>
      </c>
      <c r="D203" s="65">
        <f>IF(MOD(A203,5)=0,D202+('Cálculos NBR9062 2017'!$B$45+'Cálculos NBR9062 2017'!$B$44),D202)</f>
        <v>610.5</v>
      </c>
      <c r="E203" s="2">
        <f t="shared" si="12"/>
        <v>0</v>
      </c>
      <c r="F203" s="2">
        <f>B203+'Cálculos NBR9062 2017'!$B$86*C203/'Cálculos NBR9062 2017'!$B$36</f>
        <v>0</v>
      </c>
      <c r="G203" s="104">
        <f t="shared" si="10"/>
        <v>0</v>
      </c>
      <c r="Q203" s="1">
        <v>192</v>
      </c>
      <c r="T203" s="65">
        <f>IF(MOD(Q203,5)=0,T202+('Cálculos Eurocode'!$B$51+'Cálculos Eurocode'!$B$52),T202)</f>
        <v>610.5</v>
      </c>
      <c r="U203" s="100">
        <f t="shared" si="13"/>
        <v>0</v>
      </c>
      <c r="V203" s="2">
        <f>R203+'Cálculos NBR9062 2017'!$B$86*S203/'Cálculos NBR9062 2017'!$B$36</f>
        <v>0</v>
      </c>
      <c r="W203" s="104">
        <f t="shared" si="11"/>
        <v>0</v>
      </c>
    </row>
    <row r="204" spans="1:23" x14ac:dyDescent="0.25">
      <c r="A204" s="1">
        <v>193</v>
      </c>
      <c r="D204" s="65">
        <f>IF(MOD(A204,5)=0,D203+('Cálculos NBR9062 2017'!$B$45+'Cálculos NBR9062 2017'!$B$44),D203)</f>
        <v>610.5</v>
      </c>
      <c r="E204" s="2">
        <f t="shared" si="12"/>
        <v>0</v>
      </c>
      <c r="F204" s="2">
        <f>B204+'Cálculos NBR9062 2017'!$B$86*C204/'Cálculos NBR9062 2017'!$B$36</f>
        <v>0</v>
      </c>
      <c r="G204" s="104">
        <f t="shared" si="10"/>
        <v>0</v>
      </c>
      <c r="Q204" s="1">
        <v>193</v>
      </c>
      <c r="T204" s="65">
        <f>IF(MOD(Q204,5)=0,T203+('Cálculos Eurocode'!$B$51+'Cálculos Eurocode'!$B$52),T203)</f>
        <v>610.5</v>
      </c>
      <c r="U204" s="100">
        <f t="shared" si="13"/>
        <v>0</v>
      </c>
      <c r="V204" s="2">
        <f>R204+'Cálculos NBR9062 2017'!$B$86*S204/'Cálculos NBR9062 2017'!$B$36</f>
        <v>0</v>
      </c>
      <c r="W204" s="104">
        <f t="shared" si="11"/>
        <v>0</v>
      </c>
    </row>
    <row r="205" spans="1:23" x14ac:dyDescent="0.25">
      <c r="A205" s="1">
        <v>194</v>
      </c>
      <c r="D205" s="65">
        <f>IF(MOD(A205,5)=0,D204+('Cálculos NBR9062 2017'!$B$45+'Cálculos NBR9062 2017'!$B$44),D204)</f>
        <v>610.5</v>
      </c>
      <c r="E205" s="2">
        <f t="shared" si="12"/>
        <v>0</v>
      </c>
      <c r="F205" s="2">
        <f>B205+'Cálculos NBR9062 2017'!$B$86*C205/'Cálculos NBR9062 2017'!$B$36</f>
        <v>0</v>
      </c>
      <c r="G205" s="104">
        <f t="shared" ref="G205:G268" si="14">C205</f>
        <v>0</v>
      </c>
      <c r="Q205" s="1">
        <v>194</v>
      </c>
      <c r="T205" s="65">
        <f>IF(MOD(Q205,5)=0,T204+('Cálculos Eurocode'!$B$51+'Cálculos Eurocode'!$B$52),T204)</f>
        <v>610.5</v>
      </c>
      <c r="U205" s="100">
        <f t="shared" si="13"/>
        <v>0</v>
      </c>
      <c r="V205" s="2">
        <f>R205+'Cálculos NBR9062 2017'!$B$86*S205/'Cálculos NBR9062 2017'!$B$36</f>
        <v>0</v>
      </c>
      <c r="W205" s="104">
        <f t="shared" ref="W205:W268" si="15">S205</f>
        <v>0</v>
      </c>
    </row>
    <row r="206" spans="1:23" x14ac:dyDescent="0.25">
      <c r="A206" s="1">
        <v>195</v>
      </c>
      <c r="D206" s="65">
        <f>IF(MOD(A206,5)=0,D205+('Cálculos NBR9062 2017'!$B$45+'Cálculos NBR9062 2017'!$B$44),D205)</f>
        <v>626.5</v>
      </c>
      <c r="E206" s="2">
        <f t="shared" ref="E206:E269" si="16">IF(E205=0,0,IF(MOD(A205,5)=0,IF(A205/5&gt;$E$10,0,1),1))</f>
        <v>0</v>
      </c>
      <c r="F206" s="2">
        <f>B206+'Cálculos NBR9062 2017'!$B$86*C206/'Cálculos NBR9062 2017'!$B$36</f>
        <v>0</v>
      </c>
      <c r="G206" s="104">
        <f t="shared" si="14"/>
        <v>0</v>
      </c>
      <c r="Q206" s="1">
        <v>195</v>
      </c>
      <c r="T206" s="65">
        <f>IF(MOD(Q206,5)=0,T205+('Cálculos Eurocode'!$B$51+'Cálculos Eurocode'!$B$52),T205)</f>
        <v>626.5</v>
      </c>
      <c r="U206" s="100">
        <f t="shared" ref="U206:U269" si="17">IF(U205=0,0,IF(MOD(Q205,5)=0,IF(Q205/5&gt;$U$10,0,1),1))</f>
        <v>0</v>
      </c>
      <c r="V206" s="2">
        <f>R206+'Cálculos NBR9062 2017'!$B$86*S206/'Cálculos NBR9062 2017'!$B$36</f>
        <v>0</v>
      </c>
      <c r="W206" s="104">
        <f t="shared" si="15"/>
        <v>0</v>
      </c>
    </row>
    <row r="207" spans="1:23" x14ac:dyDescent="0.25">
      <c r="A207" s="1">
        <v>196</v>
      </c>
      <c r="D207" s="65">
        <f>IF(MOD(A207,5)=0,D206+('Cálculos NBR9062 2017'!$B$45+'Cálculos NBR9062 2017'!$B$44),D206)</f>
        <v>626.5</v>
      </c>
      <c r="E207" s="2">
        <f t="shared" si="16"/>
        <v>0</v>
      </c>
      <c r="F207" s="2">
        <f>B207+'Cálculos NBR9062 2017'!$B$86*C207/'Cálculos NBR9062 2017'!$B$36</f>
        <v>0</v>
      </c>
      <c r="G207" s="104">
        <f t="shared" si="14"/>
        <v>0</v>
      </c>
      <c r="Q207" s="1">
        <v>196</v>
      </c>
      <c r="T207" s="65">
        <f>IF(MOD(Q207,5)=0,T206+('Cálculos Eurocode'!$B$51+'Cálculos Eurocode'!$B$52),T206)</f>
        <v>626.5</v>
      </c>
      <c r="U207" s="100">
        <f t="shared" si="17"/>
        <v>0</v>
      </c>
      <c r="V207" s="2">
        <f>R207+'Cálculos NBR9062 2017'!$B$86*S207/'Cálculos NBR9062 2017'!$B$36</f>
        <v>0</v>
      </c>
      <c r="W207" s="104">
        <f t="shared" si="15"/>
        <v>0</v>
      </c>
    </row>
    <row r="208" spans="1:23" x14ac:dyDescent="0.25">
      <c r="A208" s="83">
        <v>197</v>
      </c>
      <c r="D208" s="65">
        <f>IF(MOD(A208,5)=0,D207+('Cálculos NBR9062 2017'!$B$45+'Cálculos NBR9062 2017'!$B$44),D207)</f>
        <v>626.5</v>
      </c>
      <c r="E208" s="2">
        <f t="shared" si="16"/>
        <v>0</v>
      </c>
      <c r="F208" s="2">
        <f>B208+'Cálculos NBR9062 2017'!$B$86*C208/'Cálculos NBR9062 2017'!$B$36</f>
        <v>0</v>
      </c>
      <c r="G208" s="104">
        <f t="shared" si="14"/>
        <v>0</v>
      </c>
      <c r="Q208" s="83">
        <v>197</v>
      </c>
      <c r="T208" s="65">
        <f>IF(MOD(Q208,5)=0,T207+('Cálculos Eurocode'!$B$51+'Cálculos Eurocode'!$B$52),T207)</f>
        <v>626.5</v>
      </c>
      <c r="U208" s="100">
        <f t="shared" si="17"/>
        <v>0</v>
      </c>
      <c r="V208" s="2">
        <f>R208+'Cálculos NBR9062 2017'!$B$86*S208/'Cálculos NBR9062 2017'!$B$36</f>
        <v>0</v>
      </c>
      <c r="W208" s="104">
        <f t="shared" si="15"/>
        <v>0</v>
      </c>
    </row>
    <row r="209" spans="1:23" x14ac:dyDescent="0.25">
      <c r="A209" s="83">
        <v>198</v>
      </c>
      <c r="D209" s="65">
        <f>IF(MOD(A209,5)=0,D208+('Cálculos NBR9062 2017'!$B$45+'Cálculos NBR9062 2017'!$B$44),D208)</f>
        <v>626.5</v>
      </c>
      <c r="E209" s="2">
        <f t="shared" si="16"/>
        <v>0</v>
      </c>
      <c r="F209" s="2">
        <f>B209+'Cálculos NBR9062 2017'!$B$86*C209/'Cálculos NBR9062 2017'!$B$36</f>
        <v>0</v>
      </c>
      <c r="G209" s="104">
        <f t="shared" si="14"/>
        <v>0</v>
      </c>
      <c r="Q209" s="83">
        <v>198</v>
      </c>
      <c r="T209" s="65">
        <f>IF(MOD(Q209,5)=0,T208+('Cálculos Eurocode'!$B$51+'Cálculos Eurocode'!$B$52),T208)</f>
        <v>626.5</v>
      </c>
      <c r="U209" s="100">
        <f t="shared" si="17"/>
        <v>0</v>
      </c>
      <c r="V209" s="2">
        <f>R209+'Cálculos NBR9062 2017'!$B$86*S209/'Cálculos NBR9062 2017'!$B$36</f>
        <v>0</v>
      </c>
      <c r="W209" s="104">
        <f t="shared" si="15"/>
        <v>0</v>
      </c>
    </row>
    <row r="210" spans="1:23" x14ac:dyDescent="0.25">
      <c r="A210" s="83">
        <v>199</v>
      </c>
      <c r="D210" s="65">
        <f>IF(MOD(A210,5)=0,D209+('Cálculos NBR9062 2017'!$B$45+'Cálculos NBR9062 2017'!$B$44),D209)</f>
        <v>626.5</v>
      </c>
      <c r="E210" s="2">
        <f t="shared" si="16"/>
        <v>0</v>
      </c>
      <c r="F210" s="2">
        <f>B210+'Cálculos NBR9062 2017'!$B$86*C210/'Cálculos NBR9062 2017'!$B$36</f>
        <v>0</v>
      </c>
      <c r="G210" s="104">
        <f t="shared" si="14"/>
        <v>0</v>
      </c>
      <c r="Q210" s="83">
        <v>199</v>
      </c>
      <c r="T210" s="65">
        <f>IF(MOD(Q210,5)=0,T209+('Cálculos Eurocode'!$B$51+'Cálculos Eurocode'!$B$52),T209)</f>
        <v>626.5</v>
      </c>
      <c r="U210" s="100">
        <f t="shared" si="17"/>
        <v>0</v>
      </c>
      <c r="V210" s="2">
        <f>R210+'Cálculos NBR9062 2017'!$B$86*S210/'Cálculos NBR9062 2017'!$B$36</f>
        <v>0</v>
      </c>
      <c r="W210" s="104">
        <f t="shared" si="15"/>
        <v>0</v>
      </c>
    </row>
    <row r="211" spans="1:23" x14ac:dyDescent="0.25">
      <c r="A211" s="83">
        <v>200</v>
      </c>
      <c r="D211" s="65">
        <f>IF(MOD(A211,5)=0,D210+('Cálculos NBR9062 2017'!$B$45+'Cálculos NBR9062 2017'!$B$44),D210)</f>
        <v>642.5</v>
      </c>
      <c r="E211" s="2">
        <f t="shared" si="16"/>
        <v>0</v>
      </c>
      <c r="F211" s="2">
        <f>B211+'Cálculos NBR9062 2017'!$B$86*C211/'Cálculos NBR9062 2017'!$B$36</f>
        <v>0</v>
      </c>
      <c r="G211" s="104">
        <f t="shared" si="14"/>
        <v>0</v>
      </c>
      <c r="Q211" s="83">
        <v>200</v>
      </c>
      <c r="T211" s="65">
        <f>IF(MOD(Q211,5)=0,T210+('Cálculos Eurocode'!$B$51+'Cálculos Eurocode'!$B$52),T210)</f>
        <v>642.5</v>
      </c>
      <c r="U211" s="100">
        <f t="shared" si="17"/>
        <v>0</v>
      </c>
      <c r="V211" s="2">
        <f>R211+'Cálculos NBR9062 2017'!$B$86*S211/'Cálculos NBR9062 2017'!$B$36</f>
        <v>0</v>
      </c>
      <c r="W211" s="104">
        <f t="shared" si="15"/>
        <v>0</v>
      </c>
    </row>
    <row r="212" spans="1:23" x14ac:dyDescent="0.25">
      <c r="A212" s="1">
        <v>201</v>
      </c>
      <c r="D212" s="65">
        <f>IF(MOD(A212,5)=0,D211+('Cálculos NBR9062 2017'!$B$45+'Cálculos NBR9062 2017'!$B$44),D211)</f>
        <v>642.5</v>
      </c>
      <c r="E212" s="2">
        <f t="shared" si="16"/>
        <v>0</v>
      </c>
      <c r="F212" s="2">
        <f>B212+'Cálculos NBR9062 2017'!$B$86*C212/'Cálculos NBR9062 2017'!$B$36</f>
        <v>0</v>
      </c>
      <c r="G212" s="104">
        <f t="shared" si="14"/>
        <v>0</v>
      </c>
      <c r="Q212" s="1">
        <v>201</v>
      </c>
      <c r="T212" s="65">
        <f>IF(MOD(Q212,5)=0,T211+('Cálculos Eurocode'!$B$51+'Cálculos Eurocode'!$B$52),T211)</f>
        <v>642.5</v>
      </c>
      <c r="U212" s="100">
        <f t="shared" si="17"/>
        <v>0</v>
      </c>
      <c r="V212" s="2">
        <f>R212+'Cálculos NBR9062 2017'!$B$86*S212/'Cálculos NBR9062 2017'!$B$36</f>
        <v>0</v>
      </c>
      <c r="W212" s="104">
        <f t="shared" si="15"/>
        <v>0</v>
      </c>
    </row>
    <row r="213" spans="1:23" x14ac:dyDescent="0.25">
      <c r="A213" s="1">
        <v>202</v>
      </c>
      <c r="D213" s="65">
        <f>IF(MOD(A213,5)=0,D212+('Cálculos NBR9062 2017'!$B$45+'Cálculos NBR9062 2017'!$B$44),D212)</f>
        <v>642.5</v>
      </c>
      <c r="E213" s="2">
        <f t="shared" si="16"/>
        <v>0</v>
      </c>
      <c r="F213" s="2">
        <f>B213+'Cálculos NBR9062 2017'!$B$86*C213/'Cálculos NBR9062 2017'!$B$36</f>
        <v>0</v>
      </c>
      <c r="G213" s="104">
        <f t="shared" si="14"/>
        <v>0</v>
      </c>
      <c r="Q213" s="1">
        <v>202</v>
      </c>
      <c r="T213" s="65">
        <f>IF(MOD(Q213,5)=0,T212+('Cálculos Eurocode'!$B$51+'Cálculos Eurocode'!$B$52),T212)</f>
        <v>642.5</v>
      </c>
      <c r="U213" s="100">
        <f t="shared" si="17"/>
        <v>0</v>
      </c>
      <c r="V213" s="2">
        <f>R213+'Cálculos NBR9062 2017'!$B$86*S213/'Cálculos NBR9062 2017'!$B$36</f>
        <v>0</v>
      </c>
      <c r="W213" s="104">
        <f t="shared" si="15"/>
        <v>0</v>
      </c>
    </row>
    <row r="214" spans="1:23" x14ac:dyDescent="0.25">
      <c r="A214" s="1">
        <v>203</v>
      </c>
      <c r="D214" s="65">
        <f>IF(MOD(A214,5)=0,D213+('Cálculos NBR9062 2017'!$B$45+'Cálculos NBR9062 2017'!$B$44),D213)</f>
        <v>642.5</v>
      </c>
      <c r="E214" s="2">
        <f t="shared" si="16"/>
        <v>0</v>
      </c>
      <c r="F214" s="2">
        <f>B214+'Cálculos NBR9062 2017'!$B$86*C214/'Cálculos NBR9062 2017'!$B$36</f>
        <v>0</v>
      </c>
      <c r="G214" s="104">
        <f t="shared" si="14"/>
        <v>0</v>
      </c>
      <c r="Q214" s="1">
        <v>203</v>
      </c>
      <c r="T214" s="65">
        <f>IF(MOD(Q214,5)=0,T213+('Cálculos Eurocode'!$B$51+'Cálculos Eurocode'!$B$52),T213)</f>
        <v>642.5</v>
      </c>
      <c r="U214" s="100">
        <f t="shared" si="17"/>
        <v>0</v>
      </c>
      <c r="V214" s="2">
        <f>R214+'Cálculos NBR9062 2017'!$B$86*S214/'Cálculos NBR9062 2017'!$B$36</f>
        <v>0</v>
      </c>
      <c r="W214" s="104">
        <f t="shared" si="15"/>
        <v>0</v>
      </c>
    </row>
    <row r="215" spans="1:23" x14ac:dyDescent="0.25">
      <c r="A215" s="1">
        <v>204</v>
      </c>
      <c r="D215" s="65">
        <f>IF(MOD(A215,5)=0,D214+('Cálculos NBR9062 2017'!$B$45+'Cálculos NBR9062 2017'!$B$44),D214)</f>
        <v>642.5</v>
      </c>
      <c r="E215" s="2">
        <f t="shared" si="16"/>
        <v>0</v>
      </c>
      <c r="F215" s="2">
        <f>B215+'Cálculos NBR9062 2017'!$B$86*C215/'Cálculos NBR9062 2017'!$B$36</f>
        <v>0</v>
      </c>
      <c r="G215" s="104">
        <f t="shared" si="14"/>
        <v>0</v>
      </c>
      <c r="Q215" s="1">
        <v>204</v>
      </c>
      <c r="T215" s="65">
        <f>IF(MOD(Q215,5)=0,T214+('Cálculos Eurocode'!$B$51+'Cálculos Eurocode'!$B$52),T214)</f>
        <v>642.5</v>
      </c>
      <c r="U215" s="100">
        <f t="shared" si="17"/>
        <v>0</v>
      </c>
      <c r="V215" s="2">
        <f>R215+'Cálculos NBR9062 2017'!$B$86*S215/'Cálculos NBR9062 2017'!$B$36</f>
        <v>0</v>
      </c>
      <c r="W215" s="104">
        <f t="shared" si="15"/>
        <v>0</v>
      </c>
    </row>
    <row r="216" spans="1:23" x14ac:dyDescent="0.25">
      <c r="A216" s="1">
        <v>205</v>
      </c>
      <c r="D216" s="65">
        <f>IF(MOD(A216,5)=0,D215+('Cálculos NBR9062 2017'!$B$45+'Cálculos NBR9062 2017'!$B$44),D215)</f>
        <v>658.5</v>
      </c>
      <c r="E216" s="2">
        <f t="shared" si="16"/>
        <v>0</v>
      </c>
      <c r="F216" s="2">
        <f>B216+'Cálculos NBR9062 2017'!$B$86*C216/'Cálculos NBR9062 2017'!$B$36</f>
        <v>0</v>
      </c>
      <c r="G216" s="104">
        <f t="shared" si="14"/>
        <v>0</v>
      </c>
      <c r="Q216" s="1">
        <v>205</v>
      </c>
      <c r="T216" s="65">
        <f>IF(MOD(Q216,5)=0,T215+('Cálculos Eurocode'!$B$51+'Cálculos Eurocode'!$B$52),T215)</f>
        <v>658.5</v>
      </c>
      <c r="U216" s="100">
        <f t="shared" si="17"/>
        <v>0</v>
      </c>
      <c r="V216" s="2">
        <f>R216+'Cálculos NBR9062 2017'!$B$86*S216/'Cálculos NBR9062 2017'!$B$36</f>
        <v>0</v>
      </c>
      <c r="W216" s="104">
        <f t="shared" si="15"/>
        <v>0</v>
      </c>
    </row>
    <row r="217" spans="1:23" x14ac:dyDescent="0.25">
      <c r="A217" s="1">
        <v>206</v>
      </c>
      <c r="D217" s="65">
        <f>IF(MOD(A217,5)=0,D216+('Cálculos NBR9062 2017'!$B$45+'Cálculos NBR9062 2017'!$B$44),D216)</f>
        <v>658.5</v>
      </c>
      <c r="E217" s="2">
        <f t="shared" si="16"/>
        <v>0</v>
      </c>
      <c r="F217" s="2">
        <f>B217+'Cálculos NBR9062 2017'!$B$86*C217/'Cálculos NBR9062 2017'!$B$36</f>
        <v>0</v>
      </c>
      <c r="G217" s="104">
        <f t="shared" si="14"/>
        <v>0</v>
      </c>
      <c r="Q217" s="1">
        <v>206</v>
      </c>
      <c r="T217" s="65">
        <f>IF(MOD(Q217,5)=0,T216+('Cálculos Eurocode'!$B$51+'Cálculos Eurocode'!$B$52),T216)</f>
        <v>658.5</v>
      </c>
      <c r="U217" s="100">
        <f t="shared" si="17"/>
        <v>0</v>
      </c>
      <c r="V217" s="2">
        <f>R217+'Cálculos NBR9062 2017'!$B$86*S217/'Cálculos NBR9062 2017'!$B$36</f>
        <v>0</v>
      </c>
      <c r="W217" s="104">
        <f t="shared" si="15"/>
        <v>0</v>
      </c>
    </row>
    <row r="218" spans="1:23" x14ac:dyDescent="0.25">
      <c r="A218" s="83">
        <v>207</v>
      </c>
      <c r="D218" s="65">
        <f>IF(MOD(A218,5)=0,D217+('Cálculos NBR9062 2017'!$B$45+'Cálculos NBR9062 2017'!$B$44),D217)</f>
        <v>658.5</v>
      </c>
      <c r="E218" s="2">
        <f t="shared" si="16"/>
        <v>0</v>
      </c>
      <c r="F218" s="2">
        <f>B218+'Cálculos NBR9062 2017'!$B$86*C218/'Cálculos NBR9062 2017'!$B$36</f>
        <v>0</v>
      </c>
      <c r="G218" s="104">
        <f t="shared" si="14"/>
        <v>0</v>
      </c>
      <c r="Q218" s="83">
        <v>207</v>
      </c>
      <c r="T218" s="65">
        <f>IF(MOD(Q218,5)=0,T217+('Cálculos Eurocode'!$B$51+'Cálculos Eurocode'!$B$52),T217)</f>
        <v>658.5</v>
      </c>
      <c r="U218" s="100">
        <f t="shared" si="17"/>
        <v>0</v>
      </c>
      <c r="V218" s="2">
        <f>R218+'Cálculos NBR9062 2017'!$B$86*S218/'Cálculos NBR9062 2017'!$B$36</f>
        <v>0</v>
      </c>
      <c r="W218" s="104">
        <f t="shared" si="15"/>
        <v>0</v>
      </c>
    </row>
    <row r="219" spans="1:23" x14ac:dyDescent="0.25">
      <c r="A219" s="83">
        <v>208</v>
      </c>
      <c r="D219" s="65">
        <f>IF(MOD(A219,5)=0,D218+('Cálculos NBR9062 2017'!$B$45+'Cálculos NBR9062 2017'!$B$44),D218)</f>
        <v>658.5</v>
      </c>
      <c r="E219" s="2">
        <f t="shared" si="16"/>
        <v>0</v>
      </c>
      <c r="F219" s="2">
        <f>B219+'Cálculos NBR9062 2017'!$B$86*C219/'Cálculos NBR9062 2017'!$B$36</f>
        <v>0</v>
      </c>
      <c r="G219" s="104">
        <f t="shared" si="14"/>
        <v>0</v>
      </c>
      <c r="Q219" s="83">
        <v>208</v>
      </c>
      <c r="T219" s="65">
        <f>IF(MOD(Q219,5)=0,T218+('Cálculos Eurocode'!$B$51+'Cálculos Eurocode'!$B$52),T218)</f>
        <v>658.5</v>
      </c>
      <c r="U219" s="100">
        <f t="shared" si="17"/>
        <v>0</v>
      </c>
      <c r="V219" s="2">
        <f>R219+'Cálculos NBR9062 2017'!$B$86*S219/'Cálculos NBR9062 2017'!$B$36</f>
        <v>0</v>
      </c>
      <c r="W219" s="104">
        <f t="shared" si="15"/>
        <v>0</v>
      </c>
    </row>
    <row r="220" spans="1:23" x14ac:dyDescent="0.25">
      <c r="A220" s="83">
        <v>209</v>
      </c>
      <c r="D220" s="65">
        <f>IF(MOD(A220,5)=0,D219+('Cálculos NBR9062 2017'!$B$45+'Cálculos NBR9062 2017'!$B$44),D219)</f>
        <v>658.5</v>
      </c>
      <c r="E220" s="2">
        <f t="shared" si="16"/>
        <v>0</v>
      </c>
      <c r="F220" s="2">
        <f>B220+'Cálculos NBR9062 2017'!$B$86*C220/'Cálculos NBR9062 2017'!$B$36</f>
        <v>0</v>
      </c>
      <c r="G220" s="104">
        <f t="shared" si="14"/>
        <v>0</v>
      </c>
      <c r="Q220" s="83">
        <v>209</v>
      </c>
      <c r="T220" s="65">
        <f>IF(MOD(Q220,5)=0,T219+('Cálculos Eurocode'!$B$51+'Cálculos Eurocode'!$B$52),T219)</f>
        <v>658.5</v>
      </c>
      <c r="U220" s="100">
        <f t="shared" si="17"/>
        <v>0</v>
      </c>
      <c r="V220" s="2">
        <f>R220+'Cálculos NBR9062 2017'!$B$86*S220/'Cálculos NBR9062 2017'!$B$36</f>
        <v>0</v>
      </c>
      <c r="W220" s="104">
        <f t="shared" si="15"/>
        <v>0</v>
      </c>
    </row>
    <row r="221" spans="1:23" x14ac:dyDescent="0.25">
      <c r="A221" s="83">
        <v>210</v>
      </c>
      <c r="D221" s="65">
        <f>IF(MOD(A221,5)=0,D220+('Cálculos NBR9062 2017'!$B$45+'Cálculos NBR9062 2017'!$B$44),D220)</f>
        <v>674.5</v>
      </c>
      <c r="E221" s="2">
        <f t="shared" si="16"/>
        <v>0</v>
      </c>
      <c r="F221" s="2">
        <f>B221+'Cálculos NBR9062 2017'!$B$86*C221/'Cálculos NBR9062 2017'!$B$36</f>
        <v>0</v>
      </c>
      <c r="G221" s="104">
        <f t="shared" si="14"/>
        <v>0</v>
      </c>
      <c r="Q221" s="83">
        <v>210</v>
      </c>
      <c r="T221" s="65">
        <f>IF(MOD(Q221,5)=0,T220+('Cálculos Eurocode'!$B$51+'Cálculos Eurocode'!$B$52),T220)</f>
        <v>674.5</v>
      </c>
      <c r="U221" s="100">
        <f t="shared" si="17"/>
        <v>0</v>
      </c>
      <c r="V221" s="2">
        <f>R221+'Cálculos NBR9062 2017'!$B$86*S221/'Cálculos NBR9062 2017'!$B$36</f>
        <v>0</v>
      </c>
      <c r="W221" s="104">
        <f t="shared" si="15"/>
        <v>0</v>
      </c>
    </row>
    <row r="222" spans="1:23" x14ac:dyDescent="0.25">
      <c r="A222" s="1">
        <v>211</v>
      </c>
      <c r="D222" s="65">
        <f>IF(MOD(A222,5)=0,D221+('Cálculos NBR9062 2017'!$B$45+'Cálculos NBR9062 2017'!$B$44),D221)</f>
        <v>674.5</v>
      </c>
      <c r="E222" s="2">
        <f t="shared" si="16"/>
        <v>0</v>
      </c>
      <c r="F222" s="2">
        <f>B222+'Cálculos NBR9062 2017'!$B$86*C222/'Cálculos NBR9062 2017'!$B$36</f>
        <v>0</v>
      </c>
      <c r="G222" s="104">
        <f t="shared" si="14"/>
        <v>0</v>
      </c>
      <c r="Q222" s="1">
        <v>211</v>
      </c>
      <c r="T222" s="65">
        <f>IF(MOD(Q222,5)=0,T221+('Cálculos Eurocode'!$B$51+'Cálculos Eurocode'!$B$52),T221)</f>
        <v>674.5</v>
      </c>
      <c r="U222" s="100">
        <f t="shared" si="17"/>
        <v>0</v>
      </c>
      <c r="V222" s="2">
        <f>R222+'Cálculos NBR9062 2017'!$B$86*S222/'Cálculos NBR9062 2017'!$B$36</f>
        <v>0</v>
      </c>
      <c r="W222" s="104">
        <f t="shared" si="15"/>
        <v>0</v>
      </c>
    </row>
    <row r="223" spans="1:23" x14ac:dyDescent="0.25">
      <c r="A223" s="1">
        <v>212</v>
      </c>
      <c r="D223" s="65">
        <f>IF(MOD(A223,5)=0,D222+('Cálculos NBR9062 2017'!$B$45+'Cálculos NBR9062 2017'!$B$44),D222)</f>
        <v>674.5</v>
      </c>
      <c r="E223" s="2">
        <f t="shared" si="16"/>
        <v>0</v>
      </c>
      <c r="F223" s="2">
        <f>B223+'Cálculos NBR9062 2017'!$B$86*C223/'Cálculos NBR9062 2017'!$B$36</f>
        <v>0</v>
      </c>
      <c r="G223" s="104">
        <f t="shared" si="14"/>
        <v>0</v>
      </c>
      <c r="Q223" s="1">
        <v>212</v>
      </c>
      <c r="T223" s="65">
        <f>IF(MOD(Q223,5)=0,T222+('Cálculos Eurocode'!$B$51+'Cálculos Eurocode'!$B$52),T222)</f>
        <v>674.5</v>
      </c>
      <c r="U223" s="100">
        <f t="shared" si="17"/>
        <v>0</v>
      </c>
      <c r="V223" s="2">
        <f>R223+'Cálculos NBR9062 2017'!$B$86*S223/'Cálculos NBR9062 2017'!$B$36</f>
        <v>0</v>
      </c>
      <c r="W223" s="104">
        <f t="shared" si="15"/>
        <v>0</v>
      </c>
    </row>
    <row r="224" spans="1:23" x14ac:dyDescent="0.25">
      <c r="A224" s="1">
        <v>213</v>
      </c>
      <c r="D224" s="65">
        <f>IF(MOD(A224,5)=0,D223+('Cálculos NBR9062 2017'!$B$45+'Cálculos NBR9062 2017'!$B$44),D223)</f>
        <v>674.5</v>
      </c>
      <c r="E224" s="2">
        <f t="shared" si="16"/>
        <v>0</v>
      </c>
      <c r="F224" s="2">
        <f>B224+'Cálculos NBR9062 2017'!$B$86*C224/'Cálculos NBR9062 2017'!$B$36</f>
        <v>0</v>
      </c>
      <c r="G224" s="104">
        <f t="shared" si="14"/>
        <v>0</v>
      </c>
      <c r="Q224" s="1">
        <v>213</v>
      </c>
      <c r="T224" s="65">
        <f>IF(MOD(Q224,5)=0,T223+('Cálculos Eurocode'!$B$51+'Cálculos Eurocode'!$B$52),T223)</f>
        <v>674.5</v>
      </c>
      <c r="U224" s="100">
        <f t="shared" si="17"/>
        <v>0</v>
      </c>
      <c r="V224" s="2">
        <f>R224+'Cálculos NBR9062 2017'!$B$86*S224/'Cálculos NBR9062 2017'!$B$36</f>
        <v>0</v>
      </c>
      <c r="W224" s="104">
        <f t="shared" si="15"/>
        <v>0</v>
      </c>
    </row>
    <row r="225" spans="1:23" x14ac:dyDescent="0.25">
      <c r="A225" s="1">
        <v>214</v>
      </c>
      <c r="D225" s="65">
        <f>IF(MOD(A225,5)=0,D224+('Cálculos NBR9062 2017'!$B$45+'Cálculos NBR9062 2017'!$B$44),D224)</f>
        <v>674.5</v>
      </c>
      <c r="E225" s="2">
        <f t="shared" si="16"/>
        <v>0</v>
      </c>
      <c r="F225" s="2">
        <f>B225+'Cálculos NBR9062 2017'!$B$86*C225/'Cálculos NBR9062 2017'!$B$36</f>
        <v>0</v>
      </c>
      <c r="G225" s="104">
        <f t="shared" si="14"/>
        <v>0</v>
      </c>
      <c r="Q225" s="1">
        <v>214</v>
      </c>
      <c r="T225" s="65">
        <f>IF(MOD(Q225,5)=0,T224+('Cálculos Eurocode'!$B$51+'Cálculos Eurocode'!$B$52),T224)</f>
        <v>674.5</v>
      </c>
      <c r="U225" s="100">
        <f t="shared" si="17"/>
        <v>0</v>
      </c>
      <c r="V225" s="2">
        <f>R225+'Cálculos NBR9062 2017'!$B$86*S225/'Cálculos NBR9062 2017'!$B$36</f>
        <v>0</v>
      </c>
      <c r="W225" s="104">
        <f t="shared" si="15"/>
        <v>0</v>
      </c>
    </row>
    <row r="226" spans="1:23" x14ac:dyDescent="0.25">
      <c r="A226" s="1">
        <v>215</v>
      </c>
      <c r="D226" s="65">
        <f>IF(MOD(A226,5)=0,D225+('Cálculos NBR9062 2017'!$B$45+'Cálculos NBR9062 2017'!$B$44),D225)</f>
        <v>690.5</v>
      </c>
      <c r="E226" s="2">
        <f t="shared" si="16"/>
        <v>0</v>
      </c>
      <c r="F226" s="2">
        <f>B226+'Cálculos NBR9062 2017'!$B$86*C226/'Cálculos NBR9062 2017'!$B$36</f>
        <v>0</v>
      </c>
      <c r="G226" s="104">
        <f t="shared" si="14"/>
        <v>0</v>
      </c>
      <c r="Q226" s="1">
        <v>215</v>
      </c>
      <c r="T226" s="65">
        <f>IF(MOD(Q226,5)=0,T225+('Cálculos Eurocode'!$B$51+'Cálculos Eurocode'!$B$52),T225)</f>
        <v>690.5</v>
      </c>
      <c r="U226" s="100">
        <f t="shared" si="17"/>
        <v>0</v>
      </c>
      <c r="V226" s="2">
        <f>R226+'Cálculos NBR9062 2017'!$B$86*S226/'Cálculos NBR9062 2017'!$B$36</f>
        <v>0</v>
      </c>
      <c r="W226" s="104">
        <f t="shared" si="15"/>
        <v>0</v>
      </c>
    </row>
    <row r="227" spans="1:23" x14ac:dyDescent="0.25">
      <c r="A227" s="1">
        <v>216</v>
      </c>
      <c r="D227" s="65">
        <f>IF(MOD(A227,5)=0,D226+('Cálculos NBR9062 2017'!$B$45+'Cálculos NBR9062 2017'!$B$44),D226)</f>
        <v>690.5</v>
      </c>
      <c r="E227" s="2">
        <f t="shared" si="16"/>
        <v>0</v>
      </c>
      <c r="F227" s="2">
        <f>B227+'Cálculos NBR9062 2017'!$B$86*C227/'Cálculos NBR9062 2017'!$B$36</f>
        <v>0</v>
      </c>
      <c r="G227" s="104">
        <f t="shared" si="14"/>
        <v>0</v>
      </c>
      <c r="Q227" s="1">
        <v>216</v>
      </c>
      <c r="T227" s="65">
        <f>IF(MOD(Q227,5)=0,T226+('Cálculos Eurocode'!$B$51+'Cálculos Eurocode'!$B$52),T226)</f>
        <v>690.5</v>
      </c>
      <c r="U227" s="100">
        <f t="shared" si="17"/>
        <v>0</v>
      </c>
      <c r="V227" s="2">
        <f>R227+'Cálculos NBR9062 2017'!$B$86*S227/'Cálculos NBR9062 2017'!$B$36</f>
        <v>0</v>
      </c>
      <c r="W227" s="104">
        <f t="shared" si="15"/>
        <v>0</v>
      </c>
    </row>
    <row r="228" spans="1:23" x14ac:dyDescent="0.25">
      <c r="A228" s="83">
        <v>217</v>
      </c>
      <c r="D228" s="65">
        <f>IF(MOD(A228,5)=0,D227+('Cálculos NBR9062 2017'!$B$45+'Cálculos NBR9062 2017'!$B$44),D227)</f>
        <v>690.5</v>
      </c>
      <c r="E228" s="2">
        <f t="shared" si="16"/>
        <v>0</v>
      </c>
      <c r="F228" s="2">
        <f>B228+'Cálculos NBR9062 2017'!$B$86*C228/'Cálculos NBR9062 2017'!$B$36</f>
        <v>0</v>
      </c>
      <c r="G228" s="104">
        <f t="shared" si="14"/>
        <v>0</v>
      </c>
      <c r="Q228" s="83">
        <v>217</v>
      </c>
      <c r="T228" s="65">
        <f>IF(MOD(Q228,5)=0,T227+('Cálculos Eurocode'!$B$51+'Cálculos Eurocode'!$B$52),T227)</f>
        <v>690.5</v>
      </c>
      <c r="U228" s="100">
        <f t="shared" si="17"/>
        <v>0</v>
      </c>
      <c r="V228" s="2">
        <f>R228+'Cálculos NBR9062 2017'!$B$86*S228/'Cálculos NBR9062 2017'!$B$36</f>
        <v>0</v>
      </c>
      <c r="W228" s="104">
        <f t="shared" si="15"/>
        <v>0</v>
      </c>
    </row>
    <row r="229" spans="1:23" x14ac:dyDescent="0.25">
      <c r="A229" s="83">
        <v>218</v>
      </c>
      <c r="D229" s="65">
        <f>IF(MOD(A229,5)=0,D228+('Cálculos NBR9062 2017'!$B$45+'Cálculos NBR9062 2017'!$B$44),D228)</f>
        <v>690.5</v>
      </c>
      <c r="E229" s="2">
        <f t="shared" si="16"/>
        <v>0</v>
      </c>
      <c r="F229" s="2">
        <f>B229+'Cálculos NBR9062 2017'!$B$86*C229/'Cálculos NBR9062 2017'!$B$36</f>
        <v>0</v>
      </c>
      <c r="G229" s="104">
        <f t="shared" si="14"/>
        <v>0</v>
      </c>
      <c r="Q229" s="83">
        <v>218</v>
      </c>
      <c r="T229" s="65">
        <f>IF(MOD(Q229,5)=0,T228+('Cálculos Eurocode'!$B$51+'Cálculos Eurocode'!$B$52),T228)</f>
        <v>690.5</v>
      </c>
      <c r="U229" s="100">
        <f t="shared" si="17"/>
        <v>0</v>
      </c>
      <c r="V229" s="2">
        <f>R229+'Cálculos NBR9062 2017'!$B$86*S229/'Cálculos NBR9062 2017'!$B$36</f>
        <v>0</v>
      </c>
      <c r="W229" s="104">
        <f t="shared" si="15"/>
        <v>0</v>
      </c>
    </row>
    <row r="230" spans="1:23" x14ac:dyDescent="0.25">
      <c r="A230" s="83">
        <v>219</v>
      </c>
      <c r="D230" s="65">
        <f>IF(MOD(A230,5)=0,D229+('Cálculos NBR9062 2017'!$B$45+'Cálculos NBR9062 2017'!$B$44),D229)</f>
        <v>690.5</v>
      </c>
      <c r="E230" s="2">
        <f t="shared" si="16"/>
        <v>0</v>
      </c>
      <c r="F230" s="2">
        <f>B230+'Cálculos NBR9062 2017'!$B$86*C230/'Cálculos NBR9062 2017'!$B$36</f>
        <v>0</v>
      </c>
      <c r="G230" s="104">
        <f t="shared" si="14"/>
        <v>0</v>
      </c>
      <c r="Q230" s="83">
        <v>219</v>
      </c>
      <c r="T230" s="65">
        <f>IF(MOD(Q230,5)=0,T229+('Cálculos Eurocode'!$B$51+'Cálculos Eurocode'!$B$52),T229)</f>
        <v>690.5</v>
      </c>
      <c r="U230" s="100">
        <f t="shared" si="17"/>
        <v>0</v>
      </c>
      <c r="V230" s="2">
        <f>R230+'Cálculos NBR9062 2017'!$B$86*S230/'Cálculos NBR9062 2017'!$B$36</f>
        <v>0</v>
      </c>
      <c r="W230" s="104">
        <f t="shared" si="15"/>
        <v>0</v>
      </c>
    </row>
    <row r="231" spans="1:23" x14ac:dyDescent="0.25">
      <c r="A231" s="83">
        <v>220</v>
      </c>
      <c r="D231" s="65">
        <f>IF(MOD(A231,5)=0,D230+('Cálculos NBR9062 2017'!$B$45+'Cálculos NBR9062 2017'!$B$44),D230)</f>
        <v>706.5</v>
      </c>
      <c r="E231" s="2">
        <f t="shared" si="16"/>
        <v>0</v>
      </c>
      <c r="F231" s="2">
        <f>B231+'Cálculos NBR9062 2017'!$B$86*C231/'Cálculos NBR9062 2017'!$B$36</f>
        <v>0</v>
      </c>
      <c r="G231" s="104">
        <f t="shared" si="14"/>
        <v>0</v>
      </c>
      <c r="Q231" s="83">
        <v>220</v>
      </c>
      <c r="T231" s="65">
        <f>IF(MOD(Q231,5)=0,T230+('Cálculos Eurocode'!$B$51+'Cálculos Eurocode'!$B$52),T230)</f>
        <v>706.5</v>
      </c>
      <c r="U231" s="100">
        <f t="shared" si="17"/>
        <v>0</v>
      </c>
      <c r="V231" s="2">
        <f>R231+'Cálculos NBR9062 2017'!$B$86*S231/'Cálculos NBR9062 2017'!$B$36</f>
        <v>0</v>
      </c>
      <c r="W231" s="104">
        <f t="shared" si="15"/>
        <v>0</v>
      </c>
    </row>
    <row r="232" spans="1:23" x14ac:dyDescent="0.25">
      <c r="A232" s="1">
        <v>221</v>
      </c>
      <c r="D232" s="65">
        <f>IF(MOD(A232,5)=0,D231+('Cálculos NBR9062 2017'!$B$45+'Cálculos NBR9062 2017'!$B$44),D231)</f>
        <v>706.5</v>
      </c>
      <c r="E232" s="2">
        <f t="shared" si="16"/>
        <v>0</v>
      </c>
      <c r="F232" s="2">
        <f>B232+'Cálculos NBR9062 2017'!$B$86*C232/'Cálculos NBR9062 2017'!$B$36</f>
        <v>0</v>
      </c>
      <c r="G232" s="104">
        <f t="shared" si="14"/>
        <v>0</v>
      </c>
      <c r="Q232" s="1">
        <v>221</v>
      </c>
      <c r="T232" s="65">
        <f>IF(MOD(Q232,5)=0,T231+('Cálculos Eurocode'!$B$51+'Cálculos Eurocode'!$B$52),T231)</f>
        <v>706.5</v>
      </c>
      <c r="U232" s="100">
        <f t="shared" si="17"/>
        <v>0</v>
      </c>
      <c r="V232" s="2">
        <f>R232+'Cálculos NBR9062 2017'!$B$86*S232/'Cálculos NBR9062 2017'!$B$36</f>
        <v>0</v>
      </c>
      <c r="W232" s="104">
        <f t="shared" si="15"/>
        <v>0</v>
      </c>
    </row>
    <row r="233" spans="1:23" x14ac:dyDescent="0.25">
      <c r="A233" s="1">
        <v>222</v>
      </c>
      <c r="D233" s="65">
        <f>IF(MOD(A233,5)=0,D232+('Cálculos NBR9062 2017'!$B$45+'Cálculos NBR9062 2017'!$B$44),D232)</f>
        <v>706.5</v>
      </c>
      <c r="E233" s="2">
        <f t="shared" si="16"/>
        <v>0</v>
      </c>
      <c r="F233" s="2">
        <f>B233+'Cálculos NBR9062 2017'!$B$86*C233/'Cálculos NBR9062 2017'!$B$36</f>
        <v>0</v>
      </c>
      <c r="G233" s="104">
        <f t="shared" si="14"/>
        <v>0</v>
      </c>
      <c r="Q233" s="1">
        <v>222</v>
      </c>
      <c r="T233" s="65">
        <f>IF(MOD(Q233,5)=0,T232+('Cálculos Eurocode'!$B$51+'Cálculos Eurocode'!$B$52),T232)</f>
        <v>706.5</v>
      </c>
      <c r="U233" s="100">
        <f t="shared" si="17"/>
        <v>0</v>
      </c>
      <c r="V233" s="2">
        <f>R233+'Cálculos NBR9062 2017'!$B$86*S233/'Cálculos NBR9062 2017'!$B$36</f>
        <v>0</v>
      </c>
      <c r="W233" s="104">
        <f t="shared" si="15"/>
        <v>0</v>
      </c>
    </row>
    <row r="234" spans="1:23" x14ac:dyDescent="0.25">
      <c r="A234" s="1">
        <v>223</v>
      </c>
      <c r="D234" s="65">
        <f>IF(MOD(A234,5)=0,D233+('Cálculos NBR9062 2017'!$B$45+'Cálculos NBR9062 2017'!$B$44),D233)</f>
        <v>706.5</v>
      </c>
      <c r="E234" s="2">
        <f t="shared" si="16"/>
        <v>0</v>
      </c>
      <c r="F234" s="2">
        <f>B234+'Cálculos NBR9062 2017'!$B$86*C234/'Cálculos NBR9062 2017'!$B$36</f>
        <v>0</v>
      </c>
      <c r="G234" s="104">
        <f t="shared" si="14"/>
        <v>0</v>
      </c>
      <c r="Q234" s="1">
        <v>223</v>
      </c>
      <c r="T234" s="65">
        <f>IF(MOD(Q234,5)=0,T233+('Cálculos Eurocode'!$B$51+'Cálculos Eurocode'!$B$52),T233)</f>
        <v>706.5</v>
      </c>
      <c r="U234" s="100">
        <f t="shared" si="17"/>
        <v>0</v>
      </c>
      <c r="V234" s="2">
        <f>R234+'Cálculos NBR9062 2017'!$B$86*S234/'Cálculos NBR9062 2017'!$B$36</f>
        <v>0</v>
      </c>
      <c r="W234" s="104">
        <f t="shared" si="15"/>
        <v>0</v>
      </c>
    </row>
    <row r="235" spans="1:23" x14ac:dyDescent="0.25">
      <c r="A235" s="1">
        <v>224</v>
      </c>
      <c r="D235" s="65">
        <f>IF(MOD(A235,5)=0,D234+('Cálculos NBR9062 2017'!$B$45+'Cálculos NBR9062 2017'!$B$44),D234)</f>
        <v>706.5</v>
      </c>
      <c r="E235" s="2">
        <f t="shared" si="16"/>
        <v>0</v>
      </c>
      <c r="F235" s="2">
        <f>B235+'Cálculos NBR9062 2017'!$B$86*C235/'Cálculos NBR9062 2017'!$B$36</f>
        <v>0</v>
      </c>
      <c r="G235" s="104">
        <f t="shared" si="14"/>
        <v>0</v>
      </c>
      <c r="Q235" s="1">
        <v>224</v>
      </c>
      <c r="T235" s="65">
        <f>IF(MOD(Q235,5)=0,T234+('Cálculos Eurocode'!$B$51+'Cálculos Eurocode'!$B$52),T234)</f>
        <v>706.5</v>
      </c>
      <c r="U235" s="100">
        <f t="shared" si="17"/>
        <v>0</v>
      </c>
      <c r="V235" s="2">
        <f>R235+'Cálculos NBR9062 2017'!$B$86*S235/'Cálculos NBR9062 2017'!$B$36</f>
        <v>0</v>
      </c>
      <c r="W235" s="104">
        <f t="shared" si="15"/>
        <v>0</v>
      </c>
    </row>
    <row r="236" spans="1:23" x14ac:dyDescent="0.25">
      <c r="A236" s="1">
        <v>225</v>
      </c>
      <c r="D236" s="65">
        <f>IF(MOD(A236,5)=0,D235+('Cálculos NBR9062 2017'!$B$45+'Cálculos NBR9062 2017'!$B$44),D235)</f>
        <v>722.5</v>
      </c>
      <c r="E236" s="2">
        <f t="shared" si="16"/>
        <v>0</v>
      </c>
      <c r="F236" s="2">
        <f>B236+'Cálculos NBR9062 2017'!$B$86*C236/'Cálculos NBR9062 2017'!$B$36</f>
        <v>0</v>
      </c>
      <c r="G236" s="104">
        <f t="shared" si="14"/>
        <v>0</v>
      </c>
      <c r="Q236" s="1">
        <v>225</v>
      </c>
      <c r="T236" s="65">
        <f>IF(MOD(Q236,5)=0,T235+('Cálculos Eurocode'!$B$51+'Cálculos Eurocode'!$B$52),T235)</f>
        <v>722.5</v>
      </c>
      <c r="U236" s="100">
        <f t="shared" si="17"/>
        <v>0</v>
      </c>
      <c r="V236" s="2">
        <f>R236+'Cálculos NBR9062 2017'!$B$86*S236/'Cálculos NBR9062 2017'!$B$36</f>
        <v>0</v>
      </c>
      <c r="W236" s="104">
        <f t="shared" si="15"/>
        <v>0</v>
      </c>
    </row>
    <row r="237" spans="1:23" x14ac:dyDescent="0.25">
      <c r="A237" s="1">
        <v>226</v>
      </c>
      <c r="D237" s="65">
        <f>IF(MOD(A237,5)=0,D236+('Cálculos NBR9062 2017'!$B$45+'Cálculos NBR9062 2017'!$B$44),D236)</f>
        <v>722.5</v>
      </c>
      <c r="E237" s="2">
        <f t="shared" si="16"/>
        <v>0</v>
      </c>
      <c r="F237" s="2">
        <f>B237+'Cálculos NBR9062 2017'!$B$86*C237/'Cálculos NBR9062 2017'!$B$36</f>
        <v>0</v>
      </c>
      <c r="G237" s="104">
        <f t="shared" si="14"/>
        <v>0</v>
      </c>
      <c r="Q237" s="1">
        <v>226</v>
      </c>
      <c r="T237" s="65">
        <f>IF(MOD(Q237,5)=0,T236+('Cálculos Eurocode'!$B$51+'Cálculos Eurocode'!$B$52),T236)</f>
        <v>722.5</v>
      </c>
      <c r="U237" s="100">
        <f t="shared" si="17"/>
        <v>0</v>
      </c>
      <c r="V237" s="2">
        <f>R237+'Cálculos NBR9062 2017'!$B$86*S237/'Cálculos NBR9062 2017'!$B$36</f>
        <v>0</v>
      </c>
      <c r="W237" s="104">
        <f t="shared" si="15"/>
        <v>0</v>
      </c>
    </row>
    <row r="238" spans="1:23" x14ac:dyDescent="0.25">
      <c r="A238" s="83">
        <v>227</v>
      </c>
      <c r="D238" s="65">
        <f>IF(MOD(A238,5)=0,D237+('Cálculos NBR9062 2017'!$B$45+'Cálculos NBR9062 2017'!$B$44),D237)</f>
        <v>722.5</v>
      </c>
      <c r="E238" s="2">
        <f t="shared" si="16"/>
        <v>0</v>
      </c>
      <c r="F238" s="2">
        <f>B238+'Cálculos NBR9062 2017'!$B$86*C238/'Cálculos NBR9062 2017'!$B$36</f>
        <v>0</v>
      </c>
      <c r="G238" s="104">
        <f t="shared" si="14"/>
        <v>0</v>
      </c>
      <c r="Q238" s="83">
        <v>227</v>
      </c>
      <c r="T238" s="65">
        <f>IF(MOD(Q238,5)=0,T237+('Cálculos Eurocode'!$B$51+'Cálculos Eurocode'!$B$52),T237)</f>
        <v>722.5</v>
      </c>
      <c r="U238" s="100">
        <f t="shared" si="17"/>
        <v>0</v>
      </c>
      <c r="V238" s="2">
        <f>R238+'Cálculos NBR9062 2017'!$B$86*S238/'Cálculos NBR9062 2017'!$B$36</f>
        <v>0</v>
      </c>
      <c r="W238" s="104">
        <f t="shared" si="15"/>
        <v>0</v>
      </c>
    </row>
    <row r="239" spans="1:23" x14ac:dyDescent="0.25">
      <c r="A239" s="83">
        <v>228</v>
      </c>
      <c r="D239" s="65">
        <f>IF(MOD(A239,5)=0,D238+('Cálculos NBR9062 2017'!$B$45+'Cálculos NBR9062 2017'!$B$44),D238)</f>
        <v>722.5</v>
      </c>
      <c r="E239" s="2">
        <f t="shared" si="16"/>
        <v>0</v>
      </c>
      <c r="F239" s="2">
        <f>B239+'Cálculos NBR9062 2017'!$B$86*C239/'Cálculos NBR9062 2017'!$B$36</f>
        <v>0</v>
      </c>
      <c r="G239" s="104">
        <f t="shared" si="14"/>
        <v>0</v>
      </c>
      <c r="Q239" s="83">
        <v>228</v>
      </c>
      <c r="T239" s="65">
        <f>IF(MOD(Q239,5)=0,T238+('Cálculos Eurocode'!$B$51+'Cálculos Eurocode'!$B$52),T238)</f>
        <v>722.5</v>
      </c>
      <c r="U239" s="100">
        <f t="shared" si="17"/>
        <v>0</v>
      </c>
      <c r="V239" s="2">
        <f>R239+'Cálculos NBR9062 2017'!$B$86*S239/'Cálculos NBR9062 2017'!$B$36</f>
        <v>0</v>
      </c>
      <c r="W239" s="104">
        <f t="shared" si="15"/>
        <v>0</v>
      </c>
    </row>
    <row r="240" spans="1:23" x14ac:dyDescent="0.25">
      <c r="A240" s="83">
        <v>229</v>
      </c>
      <c r="D240" s="65">
        <f>IF(MOD(A240,5)=0,D239+('Cálculos NBR9062 2017'!$B$45+'Cálculos NBR9062 2017'!$B$44),D239)</f>
        <v>722.5</v>
      </c>
      <c r="E240" s="2">
        <f t="shared" si="16"/>
        <v>0</v>
      </c>
      <c r="F240" s="2">
        <f>B240+'Cálculos NBR9062 2017'!$B$86*C240/'Cálculos NBR9062 2017'!$B$36</f>
        <v>0</v>
      </c>
      <c r="G240" s="104">
        <f t="shared" si="14"/>
        <v>0</v>
      </c>
      <c r="Q240" s="83">
        <v>229</v>
      </c>
      <c r="T240" s="65">
        <f>IF(MOD(Q240,5)=0,T239+('Cálculos Eurocode'!$B$51+'Cálculos Eurocode'!$B$52),T239)</f>
        <v>722.5</v>
      </c>
      <c r="U240" s="100">
        <f t="shared" si="17"/>
        <v>0</v>
      </c>
      <c r="V240" s="2">
        <f>R240+'Cálculos NBR9062 2017'!$B$86*S240/'Cálculos NBR9062 2017'!$B$36</f>
        <v>0</v>
      </c>
      <c r="W240" s="104">
        <f t="shared" si="15"/>
        <v>0</v>
      </c>
    </row>
    <row r="241" spans="1:23" x14ac:dyDescent="0.25">
      <c r="A241" s="83">
        <v>230</v>
      </c>
      <c r="D241" s="65">
        <f>IF(MOD(A241,5)=0,D240+('Cálculos NBR9062 2017'!$B$45+'Cálculos NBR9062 2017'!$B$44),D240)</f>
        <v>738.5</v>
      </c>
      <c r="E241" s="2">
        <f t="shared" si="16"/>
        <v>0</v>
      </c>
      <c r="F241" s="2">
        <f>B241+'Cálculos NBR9062 2017'!$B$86*C241/'Cálculos NBR9062 2017'!$B$36</f>
        <v>0</v>
      </c>
      <c r="G241" s="104">
        <f t="shared" si="14"/>
        <v>0</v>
      </c>
      <c r="Q241" s="83">
        <v>230</v>
      </c>
      <c r="T241" s="65">
        <f>IF(MOD(Q241,5)=0,T240+('Cálculos Eurocode'!$B$51+'Cálculos Eurocode'!$B$52),T240)</f>
        <v>738.5</v>
      </c>
      <c r="U241" s="100">
        <f t="shared" si="17"/>
        <v>0</v>
      </c>
      <c r="V241" s="2">
        <f>R241+'Cálculos NBR9062 2017'!$B$86*S241/'Cálculos NBR9062 2017'!$B$36</f>
        <v>0</v>
      </c>
      <c r="W241" s="104">
        <f t="shared" si="15"/>
        <v>0</v>
      </c>
    </row>
    <row r="242" spans="1:23" x14ac:dyDescent="0.25">
      <c r="A242" s="1">
        <v>231</v>
      </c>
      <c r="D242" s="65">
        <f>IF(MOD(A242,5)=0,D241+('Cálculos NBR9062 2017'!$B$45+'Cálculos NBR9062 2017'!$B$44),D241)</f>
        <v>738.5</v>
      </c>
      <c r="E242" s="2">
        <f t="shared" si="16"/>
        <v>0</v>
      </c>
      <c r="F242" s="2">
        <f>B242+'Cálculos NBR9062 2017'!$B$86*C242/'Cálculos NBR9062 2017'!$B$36</f>
        <v>0</v>
      </c>
      <c r="G242" s="104">
        <f t="shared" si="14"/>
        <v>0</v>
      </c>
      <c r="Q242" s="1">
        <v>231</v>
      </c>
      <c r="T242" s="65">
        <f>IF(MOD(Q242,5)=0,T241+('Cálculos Eurocode'!$B$51+'Cálculos Eurocode'!$B$52),T241)</f>
        <v>738.5</v>
      </c>
      <c r="U242" s="100">
        <f t="shared" si="17"/>
        <v>0</v>
      </c>
      <c r="V242" s="2">
        <f>R242+'Cálculos NBR9062 2017'!$B$86*S242/'Cálculos NBR9062 2017'!$B$36</f>
        <v>0</v>
      </c>
      <c r="W242" s="104">
        <f t="shared" si="15"/>
        <v>0</v>
      </c>
    </row>
    <row r="243" spans="1:23" x14ac:dyDescent="0.25">
      <c r="A243" s="1">
        <v>232</v>
      </c>
      <c r="D243" s="65">
        <f>IF(MOD(A243,5)=0,D242+('Cálculos NBR9062 2017'!$B$45+'Cálculos NBR9062 2017'!$B$44),D242)</f>
        <v>738.5</v>
      </c>
      <c r="E243" s="2">
        <f t="shared" si="16"/>
        <v>0</v>
      </c>
      <c r="F243" s="2">
        <f>B243+'Cálculos NBR9062 2017'!$B$86*C243/'Cálculos NBR9062 2017'!$B$36</f>
        <v>0</v>
      </c>
      <c r="G243" s="104">
        <f t="shared" si="14"/>
        <v>0</v>
      </c>
      <c r="Q243" s="1">
        <v>232</v>
      </c>
      <c r="T243" s="65">
        <f>IF(MOD(Q243,5)=0,T242+('Cálculos Eurocode'!$B$51+'Cálculos Eurocode'!$B$52),T242)</f>
        <v>738.5</v>
      </c>
      <c r="U243" s="100">
        <f t="shared" si="17"/>
        <v>0</v>
      </c>
      <c r="V243" s="2">
        <f>R243+'Cálculos NBR9062 2017'!$B$86*S243/'Cálculos NBR9062 2017'!$B$36</f>
        <v>0</v>
      </c>
      <c r="W243" s="104">
        <f t="shared" si="15"/>
        <v>0</v>
      </c>
    </row>
    <row r="244" spans="1:23" x14ac:dyDescent="0.25">
      <c r="A244" s="1">
        <v>233</v>
      </c>
      <c r="D244" s="65">
        <f>IF(MOD(A244,5)=0,D243+('Cálculos NBR9062 2017'!$B$45+'Cálculos NBR9062 2017'!$B$44),D243)</f>
        <v>738.5</v>
      </c>
      <c r="E244" s="2">
        <f t="shared" si="16"/>
        <v>0</v>
      </c>
      <c r="F244" s="2">
        <f>B244+'Cálculos NBR9062 2017'!$B$86*C244/'Cálculos NBR9062 2017'!$B$36</f>
        <v>0</v>
      </c>
      <c r="G244" s="104">
        <f t="shared" si="14"/>
        <v>0</v>
      </c>
      <c r="Q244" s="1">
        <v>233</v>
      </c>
      <c r="T244" s="65">
        <f>IF(MOD(Q244,5)=0,T243+('Cálculos Eurocode'!$B$51+'Cálculos Eurocode'!$B$52),T243)</f>
        <v>738.5</v>
      </c>
      <c r="U244" s="100">
        <f t="shared" si="17"/>
        <v>0</v>
      </c>
      <c r="V244" s="2">
        <f>R244+'Cálculos NBR9062 2017'!$B$86*S244/'Cálculos NBR9062 2017'!$B$36</f>
        <v>0</v>
      </c>
      <c r="W244" s="104">
        <f t="shared" si="15"/>
        <v>0</v>
      </c>
    </row>
    <row r="245" spans="1:23" x14ac:dyDescent="0.25">
      <c r="A245" s="1">
        <v>234</v>
      </c>
      <c r="D245" s="65">
        <f>IF(MOD(A245,5)=0,D244+('Cálculos NBR9062 2017'!$B$45+'Cálculos NBR9062 2017'!$B$44),D244)</f>
        <v>738.5</v>
      </c>
      <c r="E245" s="2">
        <f t="shared" si="16"/>
        <v>0</v>
      </c>
      <c r="F245" s="2">
        <f>B245+'Cálculos NBR9062 2017'!$B$86*C245/'Cálculos NBR9062 2017'!$B$36</f>
        <v>0</v>
      </c>
      <c r="G245" s="104">
        <f t="shared" si="14"/>
        <v>0</v>
      </c>
      <c r="Q245" s="1">
        <v>234</v>
      </c>
      <c r="T245" s="65">
        <f>IF(MOD(Q245,5)=0,T244+('Cálculos Eurocode'!$B$51+'Cálculos Eurocode'!$B$52),T244)</f>
        <v>738.5</v>
      </c>
      <c r="U245" s="100">
        <f t="shared" si="17"/>
        <v>0</v>
      </c>
      <c r="V245" s="2">
        <f>R245+'Cálculos NBR9062 2017'!$B$86*S245/'Cálculos NBR9062 2017'!$B$36</f>
        <v>0</v>
      </c>
      <c r="W245" s="104">
        <f t="shared" si="15"/>
        <v>0</v>
      </c>
    </row>
    <row r="246" spans="1:23" x14ac:dyDescent="0.25">
      <c r="A246" s="1">
        <v>235</v>
      </c>
      <c r="D246" s="65">
        <f>IF(MOD(A246,5)=0,D245+('Cálculos NBR9062 2017'!$B$45+'Cálculos NBR9062 2017'!$B$44),D245)</f>
        <v>754.5</v>
      </c>
      <c r="E246" s="2">
        <f t="shared" si="16"/>
        <v>0</v>
      </c>
      <c r="F246" s="2">
        <f>B246+'Cálculos NBR9062 2017'!$B$86*C246/'Cálculos NBR9062 2017'!$B$36</f>
        <v>0</v>
      </c>
      <c r="G246" s="104">
        <f t="shared" si="14"/>
        <v>0</v>
      </c>
      <c r="Q246" s="1">
        <v>235</v>
      </c>
      <c r="T246" s="65">
        <f>IF(MOD(Q246,5)=0,T245+('Cálculos Eurocode'!$B$51+'Cálculos Eurocode'!$B$52),T245)</f>
        <v>754.5</v>
      </c>
      <c r="U246" s="100">
        <f t="shared" si="17"/>
        <v>0</v>
      </c>
      <c r="V246" s="2">
        <f>R246+'Cálculos NBR9062 2017'!$B$86*S246/'Cálculos NBR9062 2017'!$B$36</f>
        <v>0</v>
      </c>
      <c r="W246" s="104">
        <f t="shared" si="15"/>
        <v>0</v>
      </c>
    </row>
    <row r="247" spans="1:23" x14ac:dyDescent="0.25">
      <c r="A247" s="1">
        <v>236</v>
      </c>
      <c r="D247" s="65">
        <f>IF(MOD(A247,5)=0,D246+('Cálculos NBR9062 2017'!$B$45+'Cálculos NBR9062 2017'!$B$44),D246)</f>
        <v>754.5</v>
      </c>
      <c r="E247" s="2">
        <f t="shared" si="16"/>
        <v>0</v>
      </c>
      <c r="F247" s="2">
        <f>B247+'Cálculos NBR9062 2017'!$B$86*C247/'Cálculos NBR9062 2017'!$B$36</f>
        <v>0</v>
      </c>
      <c r="G247" s="104">
        <f t="shared" si="14"/>
        <v>0</v>
      </c>
      <c r="Q247" s="1">
        <v>236</v>
      </c>
      <c r="T247" s="65">
        <f>IF(MOD(Q247,5)=0,T246+('Cálculos Eurocode'!$B$51+'Cálculos Eurocode'!$B$52),T246)</f>
        <v>754.5</v>
      </c>
      <c r="U247" s="100">
        <f t="shared" si="17"/>
        <v>0</v>
      </c>
      <c r="V247" s="2">
        <f>R247+'Cálculos NBR9062 2017'!$B$86*S247/'Cálculos NBR9062 2017'!$B$36</f>
        <v>0</v>
      </c>
      <c r="W247" s="104">
        <f t="shared" si="15"/>
        <v>0</v>
      </c>
    </row>
    <row r="248" spans="1:23" x14ac:dyDescent="0.25">
      <c r="A248" s="83">
        <v>237</v>
      </c>
      <c r="D248" s="65">
        <f>IF(MOD(A248,5)=0,D247+('Cálculos NBR9062 2017'!$B$45+'Cálculos NBR9062 2017'!$B$44),D247)</f>
        <v>754.5</v>
      </c>
      <c r="E248" s="2">
        <f t="shared" si="16"/>
        <v>0</v>
      </c>
      <c r="F248" s="2">
        <f>B248+'Cálculos NBR9062 2017'!$B$86*C248/'Cálculos NBR9062 2017'!$B$36</f>
        <v>0</v>
      </c>
      <c r="G248" s="104">
        <f t="shared" si="14"/>
        <v>0</v>
      </c>
      <c r="Q248" s="83">
        <v>237</v>
      </c>
      <c r="T248" s="65">
        <f>IF(MOD(Q248,5)=0,T247+('Cálculos Eurocode'!$B$51+'Cálculos Eurocode'!$B$52),T247)</f>
        <v>754.5</v>
      </c>
      <c r="U248" s="100">
        <f t="shared" si="17"/>
        <v>0</v>
      </c>
      <c r="V248" s="2">
        <f>R248+'Cálculos NBR9062 2017'!$B$86*S248/'Cálculos NBR9062 2017'!$B$36</f>
        <v>0</v>
      </c>
      <c r="W248" s="104">
        <f t="shared" si="15"/>
        <v>0</v>
      </c>
    </row>
    <row r="249" spans="1:23" x14ac:dyDescent="0.25">
      <c r="A249" s="83">
        <v>238</v>
      </c>
      <c r="D249" s="65">
        <f>IF(MOD(A249,5)=0,D248+('Cálculos NBR9062 2017'!$B$45+'Cálculos NBR9062 2017'!$B$44),D248)</f>
        <v>754.5</v>
      </c>
      <c r="E249" s="2">
        <f t="shared" si="16"/>
        <v>0</v>
      </c>
      <c r="F249" s="2">
        <f>B249+'Cálculos NBR9062 2017'!$B$86*C249/'Cálculos NBR9062 2017'!$B$36</f>
        <v>0</v>
      </c>
      <c r="G249" s="104">
        <f t="shared" si="14"/>
        <v>0</v>
      </c>
      <c r="Q249" s="83">
        <v>238</v>
      </c>
      <c r="T249" s="65">
        <f>IF(MOD(Q249,5)=0,T248+('Cálculos Eurocode'!$B$51+'Cálculos Eurocode'!$B$52),T248)</f>
        <v>754.5</v>
      </c>
      <c r="U249" s="100">
        <f t="shared" si="17"/>
        <v>0</v>
      </c>
      <c r="V249" s="2">
        <f>R249+'Cálculos NBR9062 2017'!$B$86*S249/'Cálculos NBR9062 2017'!$B$36</f>
        <v>0</v>
      </c>
      <c r="W249" s="104">
        <f t="shared" si="15"/>
        <v>0</v>
      </c>
    </row>
    <row r="250" spans="1:23" x14ac:dyDescent="0.25">
      <c r="A250" s="83">
        <v>239</v>
      </c>
      <c r="D250" s="65">
        <f>IF(MOD(A250,5)=0,D249+('Cálculos NBR9062 2017'!$B$45+'Cálculos NBR9062 2017'!$B$44),D249)</f>
        <v>754.5</v>
      </c>
      <c r="E250" s="2">
        <f t="shared" si="16"/>
        <v>0</v>
      </c>
      <c r="F250" s="2">
        <f>B250+'Cálculos NBR9062 2017'!$B$86*C250/'Cálculos NBR9062 2017'!$B$36</f>
        <v>0</v>
      </c>
      <c r="G250" s="104">
        <f t="shared" si="14"/>
        <v>0</v>
      </c>
      <c r="Q250" s="83">
        <v>239</v>
      </c>
      <c r="T250" s="65">
        <f>IF(MOD(Q250,5)=0,T249+('Cálculos Eurocode'!$B$51+'Cálculos Eurocode'!$B$52),T249)</f>
        <v>754.5</v>
      </c>
      <c r="U250" s="100">
        <f t="shared" si="17"/>
        <v>0</v>
      </c>
      <c r="V250" s="2">
        <f>R250+'Cálculos NBR9062 2017'!$B$86*S250/'Cálculos NBR9062 2017'!$B$36</f>
        <v>0</v>
      </c>
      <c r="W250" s="104">
        <f t="shared" si="15"/>
        <v>0</v>
      </c>
    </row>
    <row r="251" spans="1:23" x14ac:dyDescent="0.25">
      <c r="A251" s="83">
        <v>240</v>
      </c>
      <c r="D251" s="65">
        <f>IF(MOD(A251,5)=0,D250+('Cálculos NBR9062 2017'!$B$45+'Cálculos NBR9062 2017'!$B$44),D250)</f>
        <v>770.5</v>
      </c>
      <c r="E251" s="2">
        <f t="shared" si="16"/>
        <v>0</v>
      </c>
      <c r="F251" s="2">
        <f>B251+'Cálculos NBR9062 2017'!$B$86*C251/'Cálculos NBR9062 2017'!$B$36</f>
        <v>0</v>
      </c>
      <c r="G251" s="104">
        <f t="shared" si="14"/>
        <v>0</v>
      </c>
      <c r="Q251" s="83">
        <v>240</v>
      </c>
      <c r="T251" s="65">
        <f>IF(MOD(Q251,5)=0,T250+('Cálculos Eurocode'!$B$51+'Cálculos Eurocode'!$B$52),T250)</f>
        <v>770.5</v>
      </c>
      <c r="U251" s="100">
        <f t="shared" si="17"/>
        <v>0</v>
      </c>
      <c r="V251" s="2">
        <f>R251+'Cálculos NBR9062 2017'!$B$86*S251/'Cálculos NBR9062 2017'!$B$36</f>
        <v>0</v>
      </c>
      <c r="W251" s="104">
        <f t="shared" si="15"/>
        <v>0</v>
      </c>
    </row>
    <row r="252" spans="1:23" x14ac:dyDescent="0.25">
      <c r="A252" s="1">
        <v>241</v>
      </c>
      <c r="D252" s="65">
        <f>IF(MOD(A252,5)=0,D251+('Cálculos NBR9062 2017'!$B$45+'Cálculos NBR9062 2017'!$B$44),D251)</f>
        <v>770.5</v>
      </c>
      <c r="E252" s="2">
        <f t="shared" si="16"/>
        <v>0</v>
      </c>
      <c r="F252" s="2">
        <f>B252+'Cálculos NBR9062 2017'!$B$86*C252/'Cálculos NBR9062 2017'!$B$36</f>
        <v>0</v>
      </c>
      <c r="G252" s="104">
        <f t="shared" si="14"/>
        <v>0</v>
      </c>
      <c r="Q252" s="1">
        <v>241</v>
      </c>
      <c r="T252" s="65">
        <f>IF(MOD(Q252,5)=0,T251+('Cálculos Eurocode'!$B$51+'Cálculos Eurocode'!$B$52),T251)</f>
        <v>770.5</v>
      </c>
      <c r="U252" s="100">
        <f t="shared" si="17"/>
        <v>0</v>
      </c>
      <c r="V252" s="2">
        <f>R252+'Cálculos NBR9062 2017'!$B$86*S252/'Cálculos NBR9062 2017'!$B$36</f>
        <v>0</v>
      </c>
      <c r="W252" s="104">
        <f t="shared" si="15"/>
        <v>0</v>
      </c>
    </row>
    <row r="253" spans="1:23" x14ac:dyDescent="0.25">
      <c r="A253" s="1">
        <v>242</v>
      </c>
      <c r="D253" s="65">
        <f>IF(MOD(A253,5)=0,D252+('Cálculos NBR9062 2017'!$B$45+'Cálculos NBR9062 2017'!$B$44),D252)</f>
        <v>770.5</v>
      </c>
      <c r="E253" s="2">
        <f t="shared" si="16"/>
        <v>0</v>
      </c>
      <c r="F253" s="2">
        <f>B253+'Cálculos NBR9062 2017'!$B$86*C253/'Cálculos NBR9062 2017'!$B$36</f>
        <v>0</v>
      </c>
      <c r="G253" s="104">
        <f t="shared" si="14"/>
        <v>0</v>
      </c>
      <c r="Q253" s="1">
        <v>242</v>
      </c>
      <c r="T253" s="65">
        <f>IF(MOD(Q253,5)=0,T252+('Cálculos Eurocode'!$B$51+'Cálculos Eurocode'!$B$52),T252)</f>
        <v>770.5</v>
      </c>
      <c r="U253" s="100">
        <f t="shared" si="17"/>
        <v>0</v>
      </c>
      <c r="V253" s="2">
        <f>R253+'Cálculos NBR9062 2017'!$B$86*S253/'Cálculos NBR9062 2017'!$B$36</f>
        <v>0</v>
      </c>
      <c r="W253" s="104">
        <f t="shared" si="15"/>
        <v>0</v>
      </c>
    </row>
    <row r="254" spans="1:23" x14ac:dyDescent="0.25">
      <c r="A254" s="1">
        <v>243</v>
      </c>
      <c r="D254" s="65">
        <f>IF(MOD(A254,5)=0,D253+('Cálculos NBR9062 2017'!$B$45+'Cálculos NBR9062 2017'!$B$44),D253)</f>
        <v>770.5</v>
      </c>
      <c r="E254" s="2">
        <f t="shared" si="16"/>
        <v>0</v>
      </c>
      <c r="F254" s="2">
        <f>B254+'Cálculos NBR9062 2017'!$B$86*C254/'Cálculos NBR9062 2017'!$B$36</f>
        <v>0</v>
      </c>
      <c r="G254" s="104">
        <f t="shared" si="14"/>
        <v>0</v>
      </c>
      <c r="Q254" s="1">
        <v>243</v>
      </c>
      <c r="T254" s="65">
        <f>IF(MOD(Q254,5)=0,T253+('Cálculos Eurocode'!$B$51+'Cálculos Eurocode'!$B$52),T253)</f>
        <v>770.5</v>
      </c>
      <c r="U254" s="100">
        <f t="shared" si="17"/>
        <v>0</v>
      </c>
      <c r="V254" s="2">
        <f>R254+'Cálculos NBR9062 2017'!$B$86*S254/'Cálculos NBR9062 2017'!$B$36</f>
        <v>0</v>
      </c>
      <c r="W254" s="104">
        <f t="shared" si="15"/>
        <v>0</v>
      </c>
    </row>
    <row r="255" spans="1:23" x14ac:dyDescent="0.25">
      <c r="A255" s="1">
        <v>244</v>
      </c>
      <c r="D255" s="65">
        <f>IF(MOD(A255,5)=0,D254+('Cálculos NBR9062 2017'!$B$45+'Cálculos NBR9062 2017'!$B$44),D254)</f>
        <v>770.5</v>
      </c>
      <c r="E255" s="2">
        <f t="shared" si="16"/>
        <v>0</v>
      </c>
      <c r="F255" s="2">
        <f>B255+'Cálculos NBR9062 2017'!$B$86*C255/'Cálculos NBR9062 2017'!$B$36</f>
        <v>0</v>
      </c>
      <c r="G255" s="104">
        <f t="shared" si="14"/>
        <v>0</v>
      </c>
      <c r="Q255" s="1">
        <v>244</v>
      </c>
      <c r="T255" s="65">
        <f>IF(MOD(Q255,5)=0,T254+('Cálculos Eurocode'!$B$51+'Cálculos Eurocode'!$B$52),T254)</f>
        <v>770.5</v>
      </c>
      <c r="U255" s="100">
        <f t="shared" si="17"/>
        <v>0</v>
      </c>
      <c r="V255" s="2">
        <f>R255+'Cálculos NBR9062 2017'!$B$86*S255/'Cálculos NBR9062 2017'!$B$36</f>
        <v>0</v>
      </c>
      <c r="W255" s="104">
        <f t="shared" si="15"/>
        <v>0</v>
      </c>
    </row>
    <row r="256" spans="1:23" x14ac:dyDescent="0.25">
      <c r="A256" s="1">
        <v>245</v>
      </c>
      <c r="D256" s="65">
        <f>IF(MOD(A256,5)=0,D255+('Cálculos NBR9062 2017'!$B$45+'Cálculos NBR9062 2017'!$B$44),D255)</f>
        <v>786.5</v>
      </c>
      <c r="E256" s="2">
        <f t="shared" si="16"/>
        <v>0</v>
      </c>
      <c r="F256" s="2">
        <f>B256+'Cálculos NBR9062 2017'!$B$86*C256/'Cálculos NBR9062 2017'!$B$36</f>
        <v>0</v>
      </c>
      <c r="G256" s="104">
        <f t="shared" si="14"/>
        <v>0</v>
      </c>
      <c r="Q256" s="1">
        <v>245</v>
      </c>
      <c r="T256" s="65">
        <f>IF(MOD(Q256,5)=0,T255+('Cálculos Eurocode'!$B$51+'Cálculos Eurocode'!$B$52),T255)</f>
        <v>786.5</v>
      </c>
      <c r="U256" s="100">
        <f t="shared" si="17"/>
        <v>0</v>
      </c>
      <c r="V256" s="2">
        <f>R256+'Cálculos NBR9062 2017'!$B$86*S256/'Cálculos NBR9062 2017'!$B$36</f>
        <v>0</v>
      </c>
      <c r="W256" s="104">
        <f t="shared" si="15"/>
        <v>0</v>
      </c>
    </row>
    <row r="257" spans="1:23" x14ac:dyDescent="0.25">
      <c r="A257" s="1">
        <v>246</v>
      </c>
      <c r="D257" s="65">
        <f>IF(MOD(A257,5)=0,D256+('Cálculos NBR9062 2017'!$B$45+'Cálculos NBR9062 2017'!$B$44),D256)</f>
        <v>786.5</v>
      </c>
      <c r="E257" s="2">
        <f t="shared" si="16"/>
        <v>0</v>
      </c>
      <c r="F257" s="2">
        <f>B257+'Cálculos NBR9062 2017'!$B$86*C257/'Cálculos NBR9062 2017'!$B$36</f>
        <v>0</v>
      </c>
      <c r="G257" s="104">
        <f t="shared" si="14"/>
        <v>0</v>
      </c>
      <c r="Q257" s="1">
        <v>246</v>
      </c>
      <c r="T257" s="65">
        <f>IF(MOD(Q257,5)=0,T256+('Cálculos Eurocode'!$B$51+'Cálculos Eurocode'!$B$52),T256)</f>
        <v>786.5</v>
      </c>
      <c r="U257" s="100">
        <f t="shared" si="17"/>
        <v>0</v>
      </c>
      <c r="V257" s="2">
        <f>R257+'Cálculos NBR9062 2017'!$B$86*S257/'Cálculos NBR9062 2017'!$B$36</f>
        <v>0</v>
      </c>
      <c r="W257" s="104">
        <f t="shared" si="15"/>
        <v>0</v>
      </c>
    </row>
    <row r="258" spans="1:23" x14ac:dyDescent="0.25">
      <c r="A258" s="83">
        <v>247</v>
      </c>
      <c r="D258" s="65">
        <f>IF(MOD(A258,5)=0,D257+('Cálculos NBR9062 2017'!$B$45+'Cálculos NBR9062 2017'!$B$44),D257)</f>
        <v>786.5</v>
      </c>
      <c r="E258" s="2">
        <f t="shared" si="16"/>
        <v>0</v>
      </c>
      <c r="F258" s="2">
        <f>B258+'Cálculos NBR9062 2017'!$B$86*C258/'Cálculos NBR9062 2017'!$B$36</f>
        <v>0</v>
      </c>
      <c r="G258" s="104">
        <f t="shared" si="14"/>
        <v>0</v>
      </c>
      <c r="Q258" s="83">
        <v>247</v>
      </c>
      <c r="T258" s="65">
        <f>IF(MOD(Q258,5)=0,T257+('Cálculos Eurocode'!$B$51+'Cálculos Eurocode'!$B$52),T257)</f>
        <v>786.5</v>
      </c>
      <c r="U258" s="100">
        <f t="shared" si="17"/>
        <v>0</v>
      </c>
      <c r="V258" s="2">
        <f>R258+'Cálculos NBR9062 2017'!$B$86*S258/'Cálculos NBR9062 2017'!$B$36</f>
        <v>0</v>
      </c>
      <c r="W258" s="104">
        <f t="shared" si="15"/>
        <v>0</v>
      </c>
    </row>
    <row r="259" spans="1:23" x14ac:dyDescent="0.25">
      <c r="A259" s="83">
        <v>248</v>
      </c>
      <c r="D259" s="65">
        <f>IF(MOD(A259,5)=0,D258+('Cálculos NBR9062 2017'!$B$45+'Cálculos NBR9062 2017'!$B$44),D258)</f>
        <v>786.5</v>
      </c>
      <c r="E259" s="2">
        <f t="shared" si="16"/>
        <v>0</v>
      </c>
      <c r="F259" s="2">
        <f>B259+'Cálculos NBR9062 2017'!$B$86*C259/'Cálculos NBR9062 2017'!$B$36</f>
        <v>0</v>
      </c>
      <c r="G259" s="104">
        <f t="shared" si="14"/>
        <v>0</v>
      </c>
      <c r="Q259" s="83">
        <v>248</v>
      </c>
      <c r="T259" s="65">
        <f>IF(MOD(Q259,5)=0,T258+('Cálculos Eurocode'!$B$51+'Cálculos Eurocode'!$B$52),T258)</f>
        <v>786.5</v>
      </c>
      <c r="U259" s="100">
        <f t="shared" si="17"/>
        <v>0</v>
      </c>
      <c r="V259" s="2">
        <f>R259+'Cálculos NBR9062 2017'!$B$86*S259/'Cálculos NBR9062 2017'!$B$36</f>
        <v>0</v>
      </c>
      <c r="W259" s="104">
        <f t="shared" si="15"/>
        <v>0</v>
      </c>
    </row>
    <row r="260" spans="1:23" x14ac:dyDescent="0.25">
      <c r="A260" s="83">
        <v>249</v>
      </c>
      <c r="D260" s="65">
        <f>IF(MOD(A260,5)=0,D259+('Cálculos NBR9062 2017'!$B$45+'Cálculos NBR9062 2017'!$B$44),D259)</f>
        <v>786.5</v>
      </c>
      <c r="E260" s="2">
        <f t="shared" si="16"/>
        <v>0</v>
      </c>
      <c r="F260" s="2">
        <f>B260+'Cálculos NBR9062 2017'!$B$86*C260/'Cálculos NBR9062 2017'!$B$36</f>
        <v>0</v>
      </c>
      <c r="G260" s="104">
        <f t="shared" si="14"/>
        <v>0</v>
      </c>
      <c r="Q260" s="83">
        <v>249</v>
      </c>
      <c r="T260" s="65">
        <f>IF(MOD(Q260,5)=0,T259+('Cálculos Eurocode'!$B$51+'Cálculos Eurocode'!$B$52),T259)</f>
        <v>786.5</v>
      </c>
      <c r="U260" s="100">
        <f t="shared" si="17"/>
        <v>0</v>
      </c>
      <c r="V260" s="2">
        <f>R260+'Cálculos NBR9062 2017'!$B$86*S260/'Cálculos NBR9062 2017'!$B$36</f>
        <v>0</v>
      </c>
      <c r="W260" s="104">
        <f t="shared" si="15"/>
        <v>0</v>
      </c>
    </row>
    <row r="261" spans="1:23" x14ac:dyDescent="0.25">
      <c r="A261" s="83">
        <v>250</v>
      </c>
      <c r="D261" s="65">
        <f>IF(MOD(A261,5)=0,D260+('Cálculos NBR9062 2017'!$B$45+'Cálculos NBR9062 2017'!$B$44),D260)</f>
        <v>802.5</v>
      </c>
      <c r="E261" s="2">
        <f t="shared" si="16"/>
        <v>0</v>
      </c>
      <c r="F261" s="2">
        <f>B261+'Cálculos NBR9062 2017'!$B$86*C261/'Cálculos NBR9062 2017'!$B$36</f>
        <v>0</v>
      </c>
      <c r="G261" s="104">
        <f t="shared" si="14"/>
        <v>0</v>
      </c>
      <c r="Q261" s="83">
        <v>250</v>
      </c>
      <c r="T261" s="65">
        <f>IF(MOD(Q261,5)=0,T260+('Cálculos Eurocode'!$B$51+'Cálculos Eurocode'!$B$52),T260)</f>
        <v>802.5</v>
      </c>
      <c r="U261" s="100">
        <f t="shared" si="17"/>
        <v>0</v>
      </c>
      <c r="V261" s="2">
        <f>R261+'Cálculos NBR9062 2017'!$B$86*S261/'Cálculos NBR9062 2017'!$B$36</f>
        <v>0</v>
      </c>
      <c r="W261" s="104">
        <f t="shared" si="15"/>
        <v>0</v>
      </c>
    </row>
    <row r="262" spans="1:23" x14ac:dyDescent="0.25">
      <c r="A262" s="1">
        <v>251</v>
      </c>
      <c r="D262" s="65">
        <f>IF(MOD(A262,5)=0,D261+('Cálculos NBR9062 2017'!$B$45+'Cálculos NBR9062 2017'!$B$44),D261)</f>
        <v>802.5</v>
      </c>
      <c r="E262" s="2">
        <f t="shared" si="16"/>
        <v>0</v>
      </c>
      <c r="F262" s="2">
        <f>B262+'Cálculos NBR9062 2017'!$B$86*C262/'Cálculos NBR9062 2017'!$B$36</f>
        <v>0</v>
      </c>
      <c r="G262" s="104">
        <f t="shared" si="14"/>
        <v>0</v>
      </c>
      <c r="Q262" s="1">
        <v>251</v>
      </c>
      <c r="T262" s="65">
        <f>IF(MOD(Q262,5)=0,T261+('Cálculos Eurocode'!$B$51+'Cálculos Eurocode'!$B$52),T261)</f>
        <v>802.5</v>
      </c>
      <c r="U262" s="100">
        <f t="shared" si="17"/>
        <v>0</v>
      </c>
      <c r="V262" s="2">
        <f>R262+'Cálculos NBR9062 2017'!$B$86*S262/'Cálculos NBR9062 2017'!$B$36</f>
        <v>0</v>
      </c>
      <c r="W262" s="104">
        <f t="shared" si="15"/>
        <v>0</v>
      </c>
    </row>
    <row r="263" spans="1:23" x14ac:dyDescent="0.25">
      <c r="A263" s="1">
        <v>252</v>
      </c>
      <c r="D263" s="65">
        <f>IF(MOD(A263,5)=0,D262+('Cálculos NBR9062 2017'!$B$45+'Cálculos NBR9062 2017'!$B$44),D262)</f>
        <v>802.5</v>
      </c>
      <c r="E263" s="2">
        <f t="shared" si="16"/>
        <v>0</v>
      </c>
      <c r="F263" s="2">
        <f>B263+'Cálculos NBR9062 2017'!$B$86*C263/'Cálculos NBR9062 2017'!$B$36</f>
        <v>0</v>
      </c>
      <c r="G263" s="104">
        <f t="shared" si="14"/>
        <v>0</v>
      </c>
      <c r="Q263" s="1">
        <v>252</v>
      </c>
      <c r="T263" s="65">
        <f>IF(MOD(Q263,5)=0,T262+('Cálculos Eurocode'!$B$51+'Cálculos Eurocode'!$B$52),T262)</f>
        <v>802.5</v>
      </c>
      <c r="U263" s="100">
        <f t="shared" si="17"/>
        <v>0</v>
      </c>
      <c r="V263" s="2">
        <f>R263+'Cálculos NBR9062 2017'!$B$86*S263/'Cálculos NBR9062 2017'!$B$36</f>
        <v>0</v>
      </c>
      <c r="W263" s="104">
        <f t="shared" si="15"/>
        <v>0</v>
      </c>
    </row>
    <row r="264" spans="1:23" x14ac:dyDescent="0.25">
      <c r="A264" s="1">
        <v>253</v>
      </c>
      <c r="D264" s="65">
        <f>IF(MOD(A264,5)=0,D263+('Cálculos NBR9062 2017'!$B$45+'Cálculos NBR9062 2017'!$B$44),D263)</f>
        <v>802.5</v>
      </c>
      <c r="E264" s="2">
        <f t="shared" si="16"/>
        <v>0</v>
      </c>
      <c r="F264" s="2">
        <f>B264+'Cálculos NBR9062 2017'!$B$86*C264/'Cálculos NBR9062 2017'!$B$36</f>
        <v>0</v>
      </c>
      <c r="G264" s="104">
        <f t="shared" si="14"/>
        <v>0</v>
      </c>
      <c r="Q264" s="1">
        <v>253</v>
      </c>
      <c r="T264" s="65">
        <f>IF(MOD(Q264,5)=0,T263+('Cálculos Eurocode'!$B$51+'Cálculos Eurocode'!$B$52),T263)</f>
        <v>802.5</v>
      </c>
      <c r="U264" s="100">
        <f t="shared" si="17"/>
        <v>0</v>
      </c>
      <c r="V264" s="2">
        <f>R264+'Cálculos NBR9062 2017'!$B$86*S264/'Cálculos NBR9062 2017'!$B$36</f>
        <v>0</v>
      </c>
      <c r="W264" s="104">
        <f t="shared" si="15"/>
        <v>0</v>
      </c>
    </row>
    <row r="265" spans="1:23" x14ac:dyDescent="0.25">
      <c r="A265" s="1">
        <v>254</v>
      </c>
      <c r="D265" s="65">
        <f>IF(MOD(A265,5)=0,D264+('Cálculos NBR9062 2017'!$B$45+'Cálculos NBR9062 2017'!$B$44),D264)</f>
        <v>802.5</v>
      </c>
      <c r="E265" s="2">
        <f t="shared" si="16"/>
        <v>0</v>
      </c>
      <c r="F265" s="2">
        <f>B265+'Cálculos NBR9062 2017'!$B$86*C265/'Cálculos NBR9062 2017'!$B$36</f>
        <v>0</v>
      </c>
      <c r="G265" s="104">
        <f t="shared" si="14"/>
        <v>0</v>
      </c>
      <c r="Q265" s="1">
        <v>254</v>
      </c>
      <c r="T265" s="65">
        <f>IF(MOD(Q265,5)=0,T264+('Cálculos Eurocode'!$B$51+'Cálculos Eurocode'!$B$52),T264)</f>
        <v>802.5</v>
      </c>
      <c r="U265" s="100">
        <f t="shared" si="17"/>
        <v>0</v>
      </c>
      <c r="V265" s="2">
        <f>R265+'Cálculos NBR9062 2017'!$B$86*S265/'Cálculos NBR9062 2017'!$B$36</f>
        <v>0</v>
      </c>
      <c r="W265" s="104">
        <f t="shared" si="15"/>
        <v>0</v>
      </c>
    </row>
    <row r="266" spans="1:23" x14ac:dyDescent="0.25">
      <c r="A266" s="1">
        <v>255</v>
      </c>
      <c r="D266" s="65">
        <f>IF(MOD(A266,5)=0,D265+('Cálculos NBR9062 2017'!$B$45+'Cálculos NBR9062 2017'!$B$44),D265)</f>
        <v>818.5</v>
      </c>
      <c r="E266" s="2">
        <f t="shared" si="16"/>
        <v>0</v>
      </c>
      <c r="F266" s="2">
        <f>B266+'Cálculos NBR9062 2017'!$B$86*C266/'Cálculos NBR9062 2017'!$B$36</f>
        <v>0</v>
      </c>
      <c r="G266" s="104">
        <f t="shared" si="14"/>
        <v>0</v>
      </c>
      <c r="Q266" s="1">
        <v>255</v>
      </c>
      <c r="T266" s="65">
        <f>IF(MOD(Q266,5)=0,T265+('Cálculos Eurocode'!$B$51+'Cálculos Eurocode'!$B$52),T265)</f>
        <v>818.5</v>
      </c>
      <c r="U266" s="100">
        <f t="shared" si="17"/>
        <v>0</v>
      </c>
      <c r="V266" s="2">
        <f>R266+'Cálculos NBR9062 2017'!$B$86*S266/'Cálculos NBR9062 2017'!$B$36</f>
        <v>0</v>
      </c>
      <c r="W266" s="104">
        <f t="shared" si="15"/>
        <v>0</v>
      </c>
    </row>
    <row r="267" spans="1:23" x14ac:dyDescent="0.25">
      <c r="A267" s="1">
        <v>256</v>
      </c>
      <c r="D267" s="65">
        <f>IF(MOD(A267,5)=0,D266+('Cálculos NBR9062 2017'!$B$45+'Cálculos NBR9062 2017'!$B$44),D266)</f>
        <v>818.5</v>
      </c>
      <c r="E267" s="2">
        <f t="shared" si="16"/>
        <v>0</v>
      </c>
      <c r="F267" s="2">
        <f>B267+'Cálculos NBR9062 2017'!$B$86*C267/'Cálculos NBR9062 2017'!$B$36</f>
        <v>0</v>
      </c>
      <c r="G267" s="104">
        <f t="shared" si="14"/>
        <v>0</v>
      </c>
      <c r="Q267" s="1">
        <v>256</v>
      </c>
      <c r="T267" s="65">
        <f>IF(MOD(Q267,5)=0,T266+('Cálculos Eurocode'!$B$51+'Cálculos Eurocode'!$B$52),T266)</f>
        <v>818.5</v>
      </c>
      <c r="U267" s="100">
        <f t="shared" si="17"/>
        <v>0</v>
      </c>
      <c r="V267" s="2">
        <f>R267+'Cálculos NBR9062 2017'!$B$86*S267/'Cálculos NBR9062 2017'!$B$36</f>
        <v>0</v>
      </c>
      <c r="W267" s="104">
        <f t="shared" si="15"/>
        <v>0</v>
      </c>
    </row>
    <row r="268" spans="1:23" x14ac:dyDescent="0.25">
      <c r="A268" s="83">
        <v>257</v>
      </c>
      <c r="D268" s="65">
        <f>IF(MOD(A268,5)=0,D267+('Cálculos NBR9062 2017'!$B$45+'Cálculos NBR9062 2017'!$B$44),D267)</f>
        <v>818.5</v>
      </c>
      <c r="E268" s="2">
        <f t="shared" si="16"/>
        <v>0</v>
      </c>
      <c r="F268" s="2">
        <f>B268+'Cálculos NBR9062 2017'!$B$86*C268/'Cálculos NBR9062 2017'!$B$36</f>
        <v>0</v>
      </c>
      <c r="G268" s="104">
        <f t="shared" si="14"/>
        <v>0</v>
      </c>
      <c r="Q268" s="83">
        <v>257</v>
      </c>
      <c r="T268" s="65">
        <f>IF(MOD(Q268,5)=0,T267+('Cálculos Eurocode'!$B$51+'Cálculos Eurocode'!$B$52),T267)</f>
        <v>818.5</v>
      </c>
      <c r="U268" s="100">
        <f t="shared" si="17"/>
        <v>0</v>
      </c>
      <c r="V268" s="2">
        <f>R268+'Cálculos NBR9062 2017'!$B$86*S268/'Cálculos NBR9062 2017'!$B$36</f>
        <v>0</v>
      </c>
      <c r="W268" s="104">
        <f t="shared" si="15"/>
        <v>0</v>
      </c>
    </row>
    <row r="269" spans="1:23" x14ac:dyDescent="0.25">
      <c r="A269" s="83">
        <v>258</v>
      </c>
      <c r="D269" s="65">
        <f>IF(MOD(A269,5)=0,D268+('Cálculos NBR9062 2017'!$B$45+'Cálculos NBR9062 2017'!$B$44),D268)</f>
        <v>818.5</v>
      </c>
      <c r="E269" s="2">
        <f t="shared" si="16"/>
        <v>0</v>
      </c>
      <c r="F269" s="2">
        <f>B269+'Cálculos NBR9062 2017'!$B$86*C269/'Cálculos NBR9062 2017'!$B$36</f>
        <v>0</v>
      </c>
      <c r="G269" s="104">
        <f t="shared" ref="G269:G291" si="18">C269</f>
        <v>0</v>
      </c>
      <c r="Q269" s="83">
        <v>258</v>
      </c>
      <c r="T269" s="65">
        <f>IF(MOD(Q269,5)=0,T268+('Cálculos Eurocode'!$B$51+'Cálculos Eurocode'!$B$52),T268)</f>
        <v>818.5</v>
      </c>
      <c r="U269" s="100">
        <f t="shared" si="17"/>
        <v>0</v>
      </c>
      <c r="V269" s="2">
        <f>R269+'Cálculos NBR9062 2017'!$B$86*S269/'Cálculos NBR9062 2017'!$B$36</f>
        <v>0</v>
      </c>
      <c r="W269" s="104">
        <f t="shared" ref="W269:W291" si="19">S269</f>
        <v>0</v>
      </c>
    </row>
    <row r="270" spans="1:23" x14ac:dyDescent="0.25">
      <c r="A270" s="83">
        <v>259</v>
      </c>
      <c r="D270" s="65">
        <f>IF(MOD(A270,5)=0,D269+('Cálculos NBR9062 2017'!$B$45+'Cálculos NBR9062 2017'!$B$44),D269)</f>
        <v>818.5</v>
      </c>
      <c r="E270" s="2">
        <f t="shared" ref="E270:E291" si="20">IF(E269=0,0,IF(MOD(A269,5)=0,IF(A269/5&gt;$E$10,0,1),1))</f>
        <v>0</v>
      </c>
      <c r="F270" s="2">
        <f>B270+'Cálculos NBR9062 2017'!$B$86*C270/'Cálculos NBR9062 2017'!$B$36</f>
        <v>0</v>
      </c>
      <c r="G270" s="104">
        <f t="shared" si="18"/>
        <v>0</v>
      </c>
      <c r="Q270" s="83">
        <v>259</v>
      </c>
      <c r="T270" s="65">
        <f>IF(MOD(Q270,5)=0,T269+('Cálculos Eurocode'!$B$51+'Cálculos Eurocode'!$B$52),T269)</f>
        <v>818.5</v>
      </c>
      <c r="U270" s="100">
        <f t="shared" ref="U270:U291" si="21">IF(U269=0,0,IF(MOD(Q269,5)=0,IF(Q269/5&gt;$U$10,0,1),1))</f>
        <v>0</v>
      </c>
      <c r="V270" s="2">
        <f>R270+'Cálculos NBR9062 2017'!$B$86*S270/'Cálculos NBR9062 2017'!$B$36</f>
        <v>0</v>
      </c>
      <c r="W270" s="104">
        <f t="shared" si="19"/>
        <v>0</v>
      </c>
    </row>
    <row r="271" spans="1:23" x14ac:dyDescent="0.25">
      <c r="A271" s="83">
        <v>260</v>
      </c>
      <c r="D271" s="65">
        <f>IF(MOD(A271,5)=0,D270+('Cálculos NBR9062 2017'!$B$45+'Cálculos NBR9062 2017'!$B$44),D270)</f>
        <v>834.5</v>
      </c>
      <c r="E271" s="2">
        <f t="shared" si="20"/>
        <v>0</v>
      </c>
      <c r="F271" s="2">
        <f>B271+'Cálculos NBR9062 2017'!$B$86*C271/'Cálculos NBR9062 2017'!$B$36</f>
        <v>0</v>
      </c>
      <c r="G271" s="104">
        <f t="shared" si="18"/>
        <v>0</v>
      </c>
      <c r="Q271" s="83">
        <v>260</v>
      </c>
      <c r="T271" s="65">
        <f>IF(MOD(Q271,5)=0,T270+('Cálculos Eurocode'!$B$51+'Cálculos Eurocode'!$B$52),T270)</f>
        <v>834.5</v>
      </c>
      <c r="U271" s="100">
        <f t="shared" si="21"/>
        <v>0</v>
      </c>
      <c r="V271" s="2">
        <f>R271+'Cálculos NBR9062 2017'!$B$86*S271/'Cálculos NBR9062 2017'!$B$36</f>
        <v>0</v>
      </c>
      <c r="W271" s="104">
        <f t="shared" si="19"/>
        <v>0</v>
      </c>
    </row>
    <row r="272" spans="1:23" x14ac:dyDescent="0.25">
      <c r="A272" s="1">
        <v>261</v>
      </c>
      <c r="D272" s="65">
        <f>IF(MOD(A272,5)=0,D271+('Cálculos NBR9062 2017'!$B$45+'Cálculos NBR9062 2017'!$B$44),D271)</f>
        <v>834.5</v>
      </c>
      <c r="E272" s="2">
        <f t="shared" si="20"/>
        <v>0</v>
      </c>
      <c r="F272" s="2">
        <f>B272+'Cálculos NBR9062 2017'!$B$86*C272/'Cálculos NBR9062 2017'!$B$36</f>
        <v>0</v>
      </c>
      <c r="G272" s="104">
        <f t="shared" si="18"/>
        <v>0</v>
      </c>
      <c r="Q272" s="1">
        <v>261</v>
      </c>
      <c r="T272" s="65">
        <f>IF(MOD(Q272,5)=0,T271+('Cálculos Eurocode'!$B$51+'Cálculos Eurocode'!$B$52),T271)</f>
        <v>834.5</v>
      </c>
      <c r="U272" s="100">
        <f t="shared" si="21"/>
        <v>0</v>
      </c>
      <c r="V272" s="2">
        <f>R272+'Cálculos NBR9062 2017'!$B$86*S272/'Cálculos NBR9062 2017'!$B$36</f>
        <v>0</v>
      </c>
      <c r="W272" s="104">
        <f t="shared" si="19"/>
        <v>0</v>
      </c>
    </row>
    <row r="273" spans="1:23" x14ac:dyDescent="0.25">
      <c r="A273" s="1">
        <v>262</v>
      </c>
      <c r="D273" s="65">
        <f>IF(MOD(A273,5)=0,D272+('Cálculos NBR9062 2017'!$B$45+'Cálculos NBR9062 2017'!$B$44),D272)</f>
        <v>834.5</v>
      </c>
      <c r="E273" s="2">
        <f t="shared" si="20"/>
        <v>0</v>
      </c>
      <c r="F273" s="2">
        <f>B273+'Cálculos NBR9062 2017'!$B$86*C273/'Cálculos NBR9062 2017'!$B$36</f>
        <v>0</v>
      </c>
      <c r="G273" s="104">
        <f t="shared" si="18"/>
        <v>0</v>
      </c>
      <c r="Q273" s="1">
        <v>262</v>
      </c>
      <c r="T273" s="65">
        <f>IF(MOD(Q273,5)=0,T272+('Cálculos Eurocode'!$B$51+'Cálculos Eurocode'!$B$52),T272)</f>
        <v>834.5</v>
      </c>
      <c r="U273" s="100">
        <f t="shared" si="21"/>
        <v>0</v>
      </c>
      <c r="V273" s="2">
        <f>R273+'Cálculos NBR9062 2017'!$B$86*S273/'Cálculos NBR9062 2017'!$B$36</f>
        <v>0</v>
      </c>
      <c r="W273" s="104">
        <f t="shared" si="19"/>
        <v>0</v>
      </c>
    </row>
    <row r="274" spans="1:23" x14ac:dyDescent="0.25">
      <c r="A274" s="1">
        <v>263</v>
      </c>
      <c r="D274" s="65">
        <f>IF(MOD(A274,5)=0,D273+('Cálculos NBR9062 2017'!$B$45+'Cálculos NBR9062 2017'!$B$44),D273)</f>
        <v>834.5</v>
      </c>
      <c r="E274" s="2">
        <f t="shared" si="20"/>
        <v>0</v>
      </c>
      <c r="F274" s="2">
        <f>B274+'Cálculos NBR9062 2017'!$B$86*C274/'Cálculos NBR9062 2017'!$B$36</f>
        <v>0</v>
      </c>
      <c r="G274" s="104">
        <f t="shared" si="18"/>
        <v>0</v>
      </c>
      <c r="Q274" s="1">
        <v>263</v>
      </c>
      <c r="T274" s="65">
        <f>IF(MOD(Q274,5)=0,T273+('Cálculos Eurocode'!$B$51+'Cálculos Eurocode'!$B$52),T273)</f>
        <v>834.5</v>
      </c>
      <c r="U274" s="100">
        <f t="shared" si="21"/>
        <v>0</v>
      </c>
      <c r="V274" s="2">
        <f>R274+'Cálculos NBR9062 2017'!$B$86*S274/'Cálculos NBR9062 2017'!$B$36</f>
        <v>0</v>
      </c>
      <c r="W274" s="104">
        <f t="shared" si="19"/>
        <v>0</v>
      </c>
    </row>
    <row r="275" spans="1:23" x14ac:dyDescent="0.25">
      <c r="A275" s="1">
        <v>264</v>
      </c>
      <c r="D275" s="65">
        <f>IF(MOD(A275,5)=0,D274+('Cálculos NBR9062 2017'!$B$45+'Cálculos NBR9062 2017'!$B$44),D274)</f>
        <v>834.5</v>
      </c>
      <c r="E275" s="2">
        <f t="shared" si="20"/>
        <v>0</v>
      </c>
      <c r="F275" s="2">
        <f>B275+'Cálculos NBR9062 2017'!$B$86*C275/'Cálculos NBR9062 2017'!$B$36</f>
        <v>0</v>
      </c>
      <c r="G275" s="104">
        <f t="shared" si="18"/>
        <v>0</v>
      </c>
      <c r="Q275" s="1">
        <v>264</v>
      </c>
      <c r="T275" s="65">
        <f>IF(MOD(Q275,5)=0,T274+('Cálculos Eurocode'!$B$51+'Cálculos Eurocode'!$B$52),T274)</f>
        <v>834.5</v>
      </c>
      <c r="U275" s="100">
        <f t="shared" si="21"/>
        <v>0</v>
      </c>
      <c r="V275" s="2">
        <f>R275+'Cálculos NBR9062 2017'!$B$86*S275/'Cálculos NBR9062 2017'!$B$36</f>
        <v>0</v>
      </c>
      <c r="W275" s="104">
        <f t="shared" si="19"/>
        <v>0</v>
      </c>
    </row>
    <row r="276" spans="1:23" x14ac:dyDescent="0.25">
      <c r="A276" s="1">
        <v>265</v>
      </c>
      <c r="D276" s="65">
        <f>IF(MOD(A276,5)=0,D275+('Cálculos NBR9062 2017'!$B$45+'Cálculos NBR9062 2017'!$B$44),D275)</f>
        <v>850.5</v>
      </c>
      <c r="E276" s="2">
        <f t="shared" si="20"/>
        <v>0</v>
      </c>
      <c r="F276" s="2">
        <f>B276+'Cálculos NBR9062 2017'!$B$86*C276/'Cálculos NBR9062 2017'!$B$36</f>
        <v>0</v>
      </c>
      <c r="G276" s="104">
        <f t="shared" si="18"/>
        <v>0</v>
      </c>
      <c r="Q276" s="1">
        <v>265</v>
      </c>
      <c r="T276" s="65">
        <f>IF(MOD(Q276,5)=0,T275+('Cálculos Eurocode'!$B$51+'Cálculos Eurocode'!$B$52),T275)</f>
        <v>850.5</v>
      </c>
      <c r="U276" s="100">
        <f t="shared" si="21"/>
        <v>0</v>
      </c>
      <c r="V276" s="2">
        <f>R276+'Cálculos NBR9062 2017'!$B$86*S276/'Cálculos NBR9062 2017'!$B$36</f>
        <v>0</v>
      </c>
      <c r="W276" s="104">
        <f t="shared" si="19"/>
        <v>0</v>
      </c>
    </row>
    <row r="277" spans="1:23" x14ac:dyDescent="0.25">
      <c r="A277" s="1">
        <v>266</v>
      </c>
      <c r="D277" s="65">
        <f>IF(MOD(A277,5)=0,D276+('Cálculos NBR9062 2017'!$B$45+'Cálculos NBR9062 2017'!$B$44),D276)</f>
        <v>850.5</v>
      </c>
      <c r="E277" s="2">
        <f t="shared" si="20"/>
        <v>0</v>
      </c>
      <c r="F277" s="2">
        <f>B277+'Cálculos NBR9062 2017'!$B$86*C277/'Cálculos NBR9062 2017'!$B$36</f>
        <v>0</v>
      </c>
      <c r="G277" s="104">
        <f t="shared" si="18"/>
        <v>0</v>
      </c>
      <c r="Q277" s="1">
        <v>266</v>
      </c>
      <c r="T277" s="65">
        <f>IF(MOD(Q277,5)=0,T276+('Cálculos Eurocode'!$B$51+'Cálculos Eurocode'!$B$52),T276)</f>
        <v>850.5</v>
      </c>
      <c r="U277" s="100">
        <f t="shared" si="21"/>
        <v>0</v>
      </c>
      <c r="V277" s="2">
        <f>R277+'Cálculos NBR9062 2017'!$B$86*S277/'Cálculos NBR9062 2017'!$B$36</f>
        <v>0</v>
      </c>
      <c r="W277" s="104">
        <f t="shared" si="19"/>
        <v>0</v>
      </c>
    </row>
    <row r="278" spans="1:23" x14ac:dyDescent="0.25">
      <c r="A278" s="83">
        <v>267</v>
      </c>
      <c r="D278" s="65">
        <f>IF(MOD(A278,5)=0,D277+('Cálculos NBR9062 2017'!$B$45+'Cálculos NBR9062 2017'!$B$44),D277)</f>
        <v>850.5</v>
      </c>
      <c r="E278" s="2">
        <f t="shared" si="20"/>
        <v>0</v>
      </c>
      <c r="F278" s="2">
        <f>B278+'Cálculos NBR9062 2017'!$B$86*C278/'Cálculos NBR9062 2017'!$B$36</f>
        <v>0</v>
      </c>
      <c r="G278" s="104">
        <f t="shared" si="18"/>
        <v>0</v>
      </c>
      <c r="Q278" s="83">
        <v>267</v>
      </c>
      <c r="T278" s="65">
        <f>IF(MOD(Q278,5)=0,T277+('Cálculos Eurocode'!$B$51+'Cálculos Eurocode'!$B$52),T277)</f>
        <v>850.5</v>
      </c>
      <c r="U278" s="100">
        <f t="shared" si="21"/>
        <v>0</v>
      </c>
      <c r="V278" s="2">
        <f>R278+'Cálculos NBR9062 2017'!$B$86*S278/'Cálculos NBR9062 2017'!$B$36</f>
        <v>0</v>
      </c>
      <c r="W278" s="104">
        <f t="shared" si="19"/>
        <v>0</v>
      </c>
    </row>
    <row r="279" spans="1:23" x14ac:dyDescent="0.25">
      <c r="A279" s="83">
        <v>268</v>
      </c>
      <c r="D279" s="65">
        <f>IF(MOD(A279,5)=0,D278+('Cálculos NBR9062 2017'!$B$45+'Cálculos NBR9062 2017'!$B$44),D278)</f>
        <v>850.5</v>
      </c>
      <c r="E279" s="2">
        <f t="shared" si="20"/>
        <v>0</v>
      </c>
      <c r="F279" s="2">
        <f>B279+'Cálculos NBR9062 2017'!$B$86*C279/'Cálculos NBR9062 2017'!$B$36</f>
        <v>0</v>
      </c>
      <c r="G279" s="104">
        <f t="shared" si="18"/>
        <v>0</v>
      </c>
      <c r="Q279" s="83">
        <v>268</v>
      </c>
      <c r="T279" s="65">
        <f>IF(MOD(Q279,5)=0,T278+('Cálculos Eurocode'!$B$51+'Cálculos Eurocode'!$B$52),T278)</f>
        <v>850.5</v>
      </c>
      <c r="U279" s="100">
        <f t="shared" si="21"/>
        <v>0</v>
      </c>
      <c r="V279" s="2">
        <f>R279+'Cálculos NBR9062 2017'!$B$86*S279/'Cálculos NBR9062 2017'!$B$36</f>
        <v>0</v>
      </c>
      <c r="W279" s="104">
        <f t="shared" si="19"/>
        <v>0</v>
      </c>
    </row>
    <row r="280" spans="1:23" x14ac:dyDescent="0.25">
      <c r="A280" s="83">
        <v>269</v>
      </c>
      <c r="D280" s="65">
        <f>IF(MOD(A280,5)=0,D279+('Cálculos NBR9062 2017'!$B$45+'Cálculos NBR9062 2017'!$B$44),D279)</f>
        <v>850.5</v>
      </c>
      <c r="E280" s="2">
        <f t="shared" si="20"/>
        <v>0</v>
      </c>
      <c r="F280" s="2">
        <f>B280+'Cálculos NBR9062 2017'!$B$86*C280/'Cálculos NBR9062 2017'!$B$36</f>
        <v>0</v>
      </c>
      <c r="G280" s="104">
        <f t="shared" si="18"/>
        <v>0</v>
      </c>
      <c r="Q280" s="83">
        <v>269</v>
      </c>
      <c r="T280" s="65">
        <f>IF(MOD(Q280,5)=0,T279+('Cálculos Eurocode'!$B$51+'Cálculos Eurocode'!$B$52),T279)</f>
        <v>850.5</v>
      </c>
      <c r="U280" s="100">
        <f t="shared" si="21"/>
        <v>0</v>
      </c>
      <c r="V280" s="2">
        <f>R280+'Cálculos NBR9062 2017'!$B$86*S280/'Cálculos NBR9062 2017'!$B$36</f>
        <v>0</v>
      </c>
      <c r="W280" s="104">
        <f t="shared" si="19"/>
        <v>0</v>
      </c>
    </row>
    <row r="281" spans="1:23" x14ac:dyDescent="0.25">
      <c r="A281" s="83">
        <v>270</v>
      </c>
      <c r="D281" s="65">
        <f>IF(MOD(A281,5)=0,D280+('Cálculos NBR9062 2017'!$B$45+'Cálculos NBR9062 2017'!$B$44),D280)</f>
        <v>866.5</v>
      </c>
      <c r="E281" s="2">
        <f t="shared" si="20"/>
        <v>0</v>
      </c>
      <c r="F281" s="2">
        <f>B281+'Cálculos NBR9062 2017'!$B$86*C281/'Cálculos NBR9062 2017'!$B$36</f>
        <v>0</v>
      </c>
      <c r="G281" s="104">
        <f t="shared" si="18"/>
        <v>0</v>
      </c>
      <c r="Q281" s="83">
        <v>270</v>
      </c>
      <c r="T281" s="65">
        <f>IF(MOD(Q281,5)=0,T280+('Cálculos Eurocode'!$B$51+'Cálculos Eurocode'!$B$52),T280)</f>
        <v>866.5</v>
      </c>
      <c r="U281" s="100">
        <f t="shared" si="21"/>
        <v>0</v>
      </c>
      <c r="V281" s="2">
        <f>R281+'Cálculos NBR9062 2017'!$B$86*S281/'Cálculos NBR9062 2017'!$B$36</f>
        <v>0</v>
      </c>
      <c r="W281" s="104">
        <f t="shared" si="19"/>
        <v>0</v>
      </c>
    </row>
    <row r="282" spans="1:23" x14ac:dyDescent="0.25">
      <c r="A282" s="1">
        <v>271</v>
      </c>
      <c r="D282" s="65">
        <f>IF(MOD(A282,5)=0,D281+('Cálculos NBR9062 2017'!$B$45+'Cálculos NBR9062 2017'!$B$44),D281)</f>
        <v>866.5</v>
      </c>
      <c r="E282" s="2">
        <f t="shared" si="20"/>
        <v>0</v>
      </c>
      <c r="F282" s="2">
        <f>B282+'Cálculos NBR9062 2017'!$B$86*C282/'Cálculos NBR9062 2017'!$B$36</f>
        <v>0</v>
      </c>
      <c r="G282" s="104">
        <f t="shared" si="18"/>
        <v>0</v>
      </c>
      <c r="Q282" s="1">
        <v>271</v>
      </c>
      <c r="T282" s="65">
        <f>IF(MOD(Q282,5)=0,T281+('Cálculos Eurocode'!$B$51+'Cálculos Eurocode'!$B$52),T281)</f>
        <v>866.5</v>
      </c>
      <c r="U282" s="100">
        <f t="shared" si="21"/>
        <v>0</v>
      </c>
      <c r="V282" s="2">
        <f>R282+'Cálculos NBR9062 2017'!$B$86*S282/'Cálculos NBR9062 2017'!$B$36</f>
        <v>0</v>
      </c>
      <c r="W282" s="104">
        <f t="shared" si="19"/>
        <v>0</v>
      </c>
    </row>
    <row r="283" spans="1:23" x14ac:dyDescent="0.25">
      <c r="A283" s="1">
        <v>272</v>
      </c>
      <c r="D283" s="65">
        <f>IF(MOD(A283,5)=0,D282+('Cálculos NBR9062 2017'!$B$45+'Cálculos NBR9062 2017'!$B$44),D282)</f>
        <v>866.5</v>
      </c>
      <c r="E283" s="2">
        <f t="shared" si="20"/>
        <v>0</v>
      </c>
      <c r="F283" s="2">
        <f>B283+'Cálculos NBR9062 2017'!$B$86*C283/'Cálculos NBR9062 2017'!$B$36</f>
        <v>0</v>
      </c>
      <c r="G283" s="104">
        <f t="shared" si="18"/>
        <v>0</v>
      </c>
      <c r="Q283" s="1">
        <v>272</v>
      </c>
      <c r="T283" s="65">
        <f>IF(MOD(Q283,5)=0,T282+('Cálculos Eurocode'!$B$51+'Cálculos Eurocode'!$B$52),T282)</f>
        <v>866.5</v>
      </c>
      <c r="U283" s="100">
        <f t="shared" si="21"/>
        <v>0</v>
      </c>
      <c r="V283" s="2">
        <f>R283+'Cálculos NBR9062 2017'!$B$86*S283/'Cálculos NBR9062 2017'!$B$36</f>
        <v>0</v>
      </c>
      <c r="W283" s="104">
        <f t="shared" si="19"/>
        <v>0</v>
      </c>
    </row>
    <row r="284" spans="1:23" x14ac:dyDescent="0.25">
      <c r="A284" s="1">
        <v>273</v>
      </c>
      <c r="D284" s="65">
        <f>IF(MOD(A284,5)=0,D283+('Cálculos NBR9062 2017'!$B$45+'Cálculos NBR9062 2017'!$B$44),D283)</f>
        <v>866.5</v>
      </c>
      <c r="E284" s="2">
        <f t="shared" si="20"/>
        <v>0</v>
      </c>
      <c r="F284" s="2">
        <f>B284+'Cálculos NBR9062 2017'!$B$86*C284/'Cálculos NBR9062 2017'!$B$36</f>
        <v>0</v>
      </c>
      <c r="G284" s="104">
        <f t="shared" si="18"/>
        <v>0</v>
      </c>
      <c r="Q284" s="1">
        <v>273</v>
      </c>
      <c r="T284" s="65">
        <f>IF(MOD(Q284,5)=0,T283+('Cálculos Eurocode'!$B$51+'Cálculos Eurocode'!$B$52),T283)</f>
        <v>866.5</v>
      </c>
      <c r="U284" s="100">
        <f t="shared" si="21"/>
        <v>0</v>
      </c>
      <c r="V284" s="2">
        <f>R284+'Cálculos NBR9062 2017'!$B$86*S284/'Cálculos NBR9062 2017'!$B$36</f>
        <v>0</v>
      </c>
      <c r="W284" s="104">
        <f t="shared" si="19"/>
        <v>0</v>
      </c>
    </row>
    <row r="285" spans="1:23" x14ac:dyDescent="0.25">
      <c r="A285" s="1">
        <v>274</v>
      </c>
      <c r="D285" s="65">
        <f>IF(MOD(A285,5)=0,D284+('Cálculos NBR9062 2017'!$B$45+'Cálculos NBR9062 2017'!$B$44),D284)</f>
        <v>866.5</v>
      </c>
      <c r="E285" s="2">
        <f t="shared" si="20"/>
        <v>0</v>
      </c>
      <c r="F285" s="2">
        <f>B285+'Cálculos NBR9062 2017'!$B$86*C285/'Cálculos NBR9062 2017'!$B$36</f>
        <v>0</v>
      </c>
      <c r="G285" s="104">
        <f t="shared" si="18"/>
        <v>0</v>
      </c>
      <c r="Q285" s="1">
        <v>274</v>
      </c>
      <c r="T285" s="65">
        <f>IF(MOD(Q285,5)=0,T284+('Cálculos Eurocode'!$B$51+'Cálculos Eurocode'!$B$52),T284)</f>
        <v>866.5</v>
      </c>
      <c r="U285" s="100">
        <f t="shared" si="21"/>
        <v>0</v>
      </c>
      <c r="V285" s="2">
        <f>R285+'Cálculos NBR9062 2017'!$B$86*S285/'Cálculos NBR9062 2017'!$B$36</f>
        <v>0</v>
      </c>
      <c r="W285" s="104">
        <f t="shared" si="19"/>
        <v>0</v>
      </c>
    </row>
    <row r="286" spans="1:23" x14ac:dyDescent="0.25">
      <c r="A286" s="1">
        <v>275</v>
      </c>
      <c r="D286" s="65">
        <f>IF(MOD(A286,5)=0,D285+('Cálculos NBR9062 2017'!$B$45+'Cálculos NBR9062 2017'!$B$44),D285)</f>
        <v>882.5</v>
      </c>
      <c r="E286" s="2">
        <f t="shared" si="20"/>
        <v>0</v>
      </c>
      <c r="F286" s="2">
        <f>B286+'Cálculos NBR9062 2017'!$B$86*C286/'Cálculos NBR9062 2017'!$B$36</f>
        <v>0</v>
      </c>
      <c r="G286" s="104">
        <f t="shared" si="18"/>
        <v>0</v>
      </c>
      <c r="Q286" s="1">
        <v>275</v>
      </c>
      <c r="T286" s="65">
        <f>IF(MOD(Q286,5)=0,T285+('Cálculos Eurocode'!$B$51+'Cálculos Eurocode'!$B$52),T285)</f>
        <v>882.5</v>
      </c>
      <c r="U286" s="100">
        <f t="shared" si="21"/>
        <v>0</v>
      </c>
      <c r="V286" s="2">
        <f>R286+'Cálculos NBR9062 2017'!$B$86*S286/'Cálculos NBR9062 2017'!$B$36</f>
        <v>0</v>
      </c>
      <c r="W286" s="104">
        <f t="shared" si="19"/>
        <v>0</v>
      </c>
    </row>
    <row r="287" spans="1:23" x14ac:dyDescent="0.25">
      <c r="A287" s="1">
        <v>276</v>
      </c>
      <c r="D287" s="65">
        <f>IF(MOD(A287,5)=0,D286+('Cálculos NBR9062 2017'!$B$45+'Cálculos NBR9062 2017'!$B$44),D286)</f>
        <v>882.5</v>
      </c>
      <c r="E287" s="2">
        <f t="shared" si="20"/>
        <v>0</v>
      </c>
      <c r="F287" s="2">
        <f>B287+'Cálculos NBR9062 2017'!$B$86*C287/'Cálculos NBR9062 2017'!$B$36</f>
        <v>0</v>
      </c>
      <c r="G287" s="104">
        <f t="shared" si="18"/>
        <v>0</v>
      </c>
      <c r="Q287" s="1">
        <v>276</v>
      </c>
      <c r="T287" s="65">
        <f>IF(MOD(Q287,5)=0,T286+('Cálculos Eurocode'!$B$51+'Cálculos Eurocode'!$B$52),T286)</f>
        <v>882.5</v>
      </c>
      <c r="U287" s="100">
        <f t="shared" si="21"/>
        <v>0</v>
      </c>
      <c r="V287" s="2">
        <f>R287+'Cálculos NBR9062 2017'!$B$86*S287/'Cálculos NBR9062 2017'!$B$36</f>
        <v>0</v>
      </c>
      <c r="W287" s="104">
        <f t="shared" si="19"/>
        <v>0</v>
      </c>
    </row>
    <row r="288" spans="1:23" x14ac:dyDescent="0.25">
      <c r="A288" s="83">
        <v>277</v>
      </c>
      <c r="D288" s="65">
        <f>IF(MOD(A288,5)=0,D287+('Cálculos NBR9062 2017'!$B$45+'Cálculos NBR9062 2017'!$B$44),D287)</f>
        <v>882.5</v>
      </c>
      <c r="E288" s="2">
        <f t="shared" si="20"/>
        <v>0</v>
      </c>
      <c r="F288" s="2">
        <f>B288+'Cálculos NBR9062 2017'!$B$86*C288/'Cálculos NBR9062 2017'!$B$36</f>
        <v>0</v>
      </c>
      <c r="G288" s="104">
        <f t="shared" si="18"/>
        <v>0</v>
      </c>
      <c r="Q288" s="83">
        <v>277</v>
      </c>
      <c r="T288" s="65">
        <f>IF(MOD(Q288,5)=0,T287+('Cálculos Eurocode'!$B$51+'Cálculos Eurocode'!$B$52),T287)</f>
        <v>882.5</v>
      </c>
      <c r="U288" s="100">
        <f t="shared" si="21"/>
        <v>0</v>
      </c>
      <c r="V288" s="2">
        <f>R288+'Cálculos NBR9062 2017'!$B$86*S288/'Cálculos NBR9062 2017'!$B$36</f>
        <v>0</v>
      </c>
      <c r="W288" s="104">
        <f t="shared" si="19"/>
        <v>0</v>
      </c>
    </row>
    <row r="289" spans="1:23" x14ac:dyDescent="0.25">
      <c r="A289" s="83">
        <v>278</v>
      </c>
      <c r="D289" s="65">
        <f>IF(MOD(A289,5)=0,D288+('Cálculos NBR9062 2017'!$B$45+'Cálculos NBR9062 2017'!$B$44),D288)</f>
        <v>882.5</v>
      </c>
      <c r="E289" s="2">
        <f t="shared" si="20"/>
        <v>0</v>
      </c>
      <c r="F289" s="2">
        <f>B289+'Cálculos NBR9062 2017'!$B$86*C289/'Cálculos NBR9062 2017'!$B$36</f>
        <v>0</v>
      </c>
      <c r="G289" s="104">
        <f t="shared" si="18"/>
        <v>0</v>
      </c>
      <c r="Q289" s="83">
        <v>278</v>
      </c>
      <c r="T289" s="65">
        <f>IF(MOD(Q289,5)=0,T288+('Cálculos Eurocode'!$B$51+'Cálculos Eurocode'!$B$52),T288)</f>
        <v>882.5</v>
      </c>
      <c r="U289" s="100">
        <f t="shared" si="21"/>
        <v>0</v>
      </c>
      <c r="V289" s="2">
        <f>R289+'Cálculos NBR9062 2017'!$B$86*S289/'Cálculos NBR9062 2017'!$B$36</f>
        <v>0</v>
      </c>
      <c r="W289" s="104">
        <f t="shared" si="19"/>
        <v>0</v>
      </c>
    </row>
    <row r="290" spans="1:23" x14ac:dyDescent="0.25">
      <c r="A290" s="83">
        <v>279</v>
      </c>
      <c r="D290" s="65">
        <f>IF(MOD(A290,5)=0,D289+('Cálculos NBR9062 2017'!$B$45+'Cálculos NBR9062 2017'!$B$44),D289)</f>
        <v>882.5</v>
      </c>
      <c r="E290" s="2">
        <f t="shared" si="20"/>
        <v>0</v>
      </c>
      <c r="F290" s="2">
        <f>B290+'Cálculos NBR9062 2017'!$B$86*C290/'Cálculos NBR9062 2017'!$B$36</f>
        <v>0</v>
      </c>
      <c r="G290" s="104">
        <f t="shared" si="18"/>
        <v>0</v>
      </c>
      <c r="Q290" s="83">
        <v>279</v>
      </c>
      <c r="T290" s="65">
        <f>IF(MOD(Q290,5)=0,T289+('Cálculos Eurocode'!$B$51+'Cálculos Eurocode'!$B$52),T289)</f>
        <v>882.5</v>
      </c>
      <c r="U290" s="100">
        <f t="shared" si="21"/>
        <v>0</v>
      </c>
      <c r="V290" s="2">
        <f>R290+'Cálculos NBR9062 2017'!$B$86*S290/'Cálculos NBR9062 2017'!$B$36</f>
        <v>0</v>
      </c>
      <c r="W290" s="104">
        <f t="shared" si="19"/>
        <v>0</v>
      </c>
    </row>
    <row r="291" spans="1:23" x14ac:dyDescent="0.25">
      <c r="A291" s="83">
        <v>280</v>
      </c>
      <c r="D291" s="65">
        <f>IF(MOD(A291,5)=0,D290+('Cálculos NBR9062 2017'!$B$45+'Cálculos NBR9062 2017'!$B$44),D290)</f>
        <v>898.5</v>
      </c>
      <c r="E291" s="2">
        <f t="shared" si="20"/>
        <v>0</v>
      </c>
      <c r="F291" s="2">
        <f>B291+'Cálculos NBR9062 2017'!$B$86*C291/'Cálculos NBR9062 2017'!$B$36</f>
        <v>0</v>
      </c>
      <c r="G291" s="104">
        <f t="shared" si="18"/>
        <v>0</v>
      </c>
      <c r="Q291" s="83">
        <v>280</v>
      </c>
      <c r="T291" s="65">
        <f>IF(MOD(Q291,5)=0,T290+('Cálculos Eurocode'!$B$51+'Cálculos Eurocode'!$B$52),T290)</f>
        <v>898.5</v>
      </c>
      <c r="U291" s="100">
        <f t="shared" si="21"/>
        <v>0</v>
      </c>
      <c r="V291" s="2">
        <f>R291+'Cálculos NBR9062 2017'!$B$86*S291/'Cálculos NBR9062 2017'!$B$36</f>
        <v>0</v>
      </c>
      <c r="W291" s="104">
        <f t="shared" si="19"/>
        <v>0</v>
      </c>
    </row>
  </sheetData>
  <mergeCells count="6">
    <mergeCell ref="A2:C2"/>
    <mergeCell ref="A10:C10"/>
    <mergeCell ref="D2:E2"/>
    <mergeCell ref="Q2:S2"/>
    <mergeCell ref="T2:U2"/>
    <mergeCell ref="Q10:S10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Cálculos NBR9062 2017</vt:lpstr>
      <vt:lpstr>Cálculos Eurocode</vt:lpstr>
      <vt:lpstr>Dados</vt:lpstr>
      <vt:lpstr>EUROCALCULOS</vt:lpstr>
      <vt:lpstr>NBRCALCULOS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Wosniak-03-Users</dc:creator>
  <cp:lastModifiedBy>Wosniak Engenharia</cp:lastModifiedBy>
  <cp:lastPrinted>2025-01-20T14:49:45Z</cp:lastPrinted>
  <dcterms:created xsi:type="dcterms:W3CDTF">2015-06-05T18:19:34Z</dcterms:created>
  <dcterms:modified xsi:type="dcterms:W3CDTF">2025-01-27T14:55:59Z</dcterms:modified>
</cp:coreProperties>
</file>